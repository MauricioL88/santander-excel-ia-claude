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ício Lisboa\Documents\EstudoExcel\santander-excel-ia-claude\desafio-calculadora-investimento\"/>
    </mc:Choice>
  </mc:AlternateContent>
  <xr:revisionPtr revIDLastSave="0" documentId="13_ncr:1_{2B97EBCD-9120-49E7-B391-7080C717B726}" xr6:coauthVersionLast="47" xr6:coauthVersionMax="47" xr10:uidLastSave="{00000000-0000-0000-0000-000000000000}"/>
  <bookViews>
    <workbookView xWindow="-20610" yWindow="555" windowWidth="20730" windowHeight="11040" tabRatio="0" xr2:uid="{6C39D17D-FB5E-472F-8752-058823BA3E1F}"/>
  </bookViews>
  <sheets>
    <sheet name="Calculadora" sheetId="1" r:id="rId1"/>
    <sheet name="Tb_Apoio" sheetId="2" r:id="rId2"/>
  </sheets>
  <definedNames>
    <definedName name="Anos">Calculadora!$D$13</definedName>
    <definedName name="Aporte">Calculadora!$D$12</definedName>
    <definedName name="DivMensais">Calculadora!$D$16</definedName>
    <definedName name="RendCarteira">Calculadora!$D$8</definedName>
    <definedName name="Salario">Calculadora!$D$7</definedName>
    <definedName name="Sugestao_Invest">Calculadora!$D$9</definedName>
    <definedName name="SugestInvest">Calculadora!$D$9</definedName>
    <definedName name="Taxa">Calculadora!$D$14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A12" i="2"/>
  <c r="A13" i="2"/>
  <c r="A14" i="2"/>
  <c r="A15" i="2"/>
  <c r="A16" i="2"/>
  <c r="A17" i="2"/>
  <c r="C33" i="1" s="1"/>
  <c r="A18" i="2"/>
  <c r="C37" i="1" s="1"/>
  <c r="A19" i="2"/>
  <c r="A20" i="2"/>
  <c r="A21" i="2"/>
  <c r="A22" i="2"/>
  <c r="A11" i="2"/>
  <c r="A6" i="2"/>
  <c r="A7" i="2"/>
  <c r="A8" i="2"/>
  <c r="A9" i="2"/>
  <c r="A10" i="2"/>
  <c r="A5" i="2"/>
  <c r="D9" i="1"/>
  <c r="D12" i="1" s="1"/>
  <c r="C20" i="1" s="1"/>
  <c r="D20" i="1" s="1"/>
  <c r="D29" i="1" l="1"/>
  <c r="D37" i="1" s="1"/>
  <c r="D32" i="1"/>
  <c r="C35" i="1"/>
  <c r="D35" i="1" s="1"/>
  <c r="C34" i="1"/>
  <c r="D34" i="1" s="1"/>
  <c r="C36" i="1"/>
  <c r="D36" i="1" s="1"/>
  <c r="C26" i="1"/>
  <c r="D26" i="1" s="1"/>
  <c r="C25" i="1"/>
  <c r="D25" i="1" s="1"/>
  <c r="C24" i="1"/>
  <c r="D24" i="1" s="1"/>
  <c r="C19" i="1"/>
  <c r="D19" i="1" s="1"/>
  <c r="C23" i="1"/>
  <c r="D23" i="1" s="1"/>
  <c r="C22" i="1"/>
  <c r="D22" i="1" s="1"/>
  <c r="C21" i="1"/>
  <c r="D21" i="1" s="1"/>
  <c r="D15" i="1"/>
  <c r="D16" i="1" s="1"/>
  <c r="D33" i="1" l="1"/>
  <c r="D38" i="1" s="1"/>
  <c r="C38" i="1"/>
</calcChain>
</file>

<file path=xl/sharedStrings.xml><?xml version="1.0" encoding="utf-8"?>
<sst xmlns="http://schemas.openxmlformats.org/spreadsheetml/2006/main" count="73" uniqueCount="37">
  <si>
    <t>INVESTIMENTO MENSAL</t>
  </si>
  <si>
    <t xml:space="preserve"> </t>
  </si>
  <si>
    <t>Quanto investir por mês ?</t>
  </si>
  <si>
    <t>Por quantos anos ?</t>
  </si>
  <si>
    <t>Taxa de rendimento mensal ?</t>
  </si>
  <si>
    <t>Patrimônio acumulado ?</t>
  </si>
  <si>
    <t>Dividendo mensais ?</t>
  </si>
  <si>
    <t>CONFIGURAÇÕES</t>
  </si>
  <si>
    <t>Salário</t>
  </si>
  <si>
    <t>Rendimento Carteira</t>
  </si>
  <si>
    <t>CENÁRIOS</t>
  </si>
  <si>
    <t>Quanto em 2 anos ?</t>
  </si>
  <si>
    <t>Quanto em 5 anos ?</t>
  </si>
  <si>
    <t>Quanto em 10 anos ?</t>
  </si>
  <si>
    <t>Quanto em 15 anos ?</t>
  </si>
  <si>
    <t>Quanto em 20 anos ?</t>
  </si>
  <si>
    <t>Quanto em 25 anos ?</t>
  </si>
  <si>
    <t>Quanto em 30 anos ?</t>
  </si>
  <si>
    <t>Quanto em 35 anos ?</t>
  </si>
  <si>
    <t>Dividendos</t>
  </si>
  <si>
    <t>Perfil</t>
  </si>
  <si>
    <t>Valor a ser investido por mês</t>
  </si>
  <si>
    <t>Tipo de FII</t>
  </si>
  <si>
    <t>%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</si>
  <si>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</si>
  <si>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</si>
  <si>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</si>
  <si>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</si>
  <si>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</si>
  <si>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</si>
  <si>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</si>
  <si>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</si>
  <si>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Moderado</t>
  </si>
  <si>
    <t>Agressivo</t>
  </si>
  <si>
    <t>% a Investir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</si>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</sst>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theme="4" tint="0.59999389629810485"/>
      <name val="Segoe UI Light"/>
      <family val="2"/>
    </font>
    <font>
      <sz val="11"/>
      <color theme="0"/>
      <name val="Segoe UI Light"/>
      <family val="2"/>
    </font>
    <font>
      <b/>
      <sz val="11"/>
      <color theme="4" tint="0.59999389629810485"/>
      <name val="Segoe UI Light"/>
      <family val="2"/>
    </font>
    <font>
      <b/>
      <sz val="12"/>
      <color rgb="FF002060"/>
      <name val="Segoe UI Light"/>
      <family val="2"/>
    </font>
    <font>
      <sz val="12"/>
      <color theme="1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4" xfId="0" applyFont="1" applyBorder="1"/>
    <xf numFmtId="0" fontId="4" fillId="2" borderId="6" xfId="0" applyFont="1" applyFill="1" applyBorder="1"/>
    <xf numFmtId="0" fontId="3" fillId="2" borderId="7" xfId="0" applyFont="1" applyFill="1" applyBorder="1"/>
    <xf numFmtId="164" fontId="4" fillId="2" borderId="8" xfId="1" applyNumberFormat="1" applyFont="1" applyFill="1" applyBorder="1"/>
    <xf numFmtId="0" fontId="4" fillId="2" borderId="4" xfId="0" applyFont="1" applyFill="1" applyBorder="1"/>
    <xf numFmtId="0" fontId="3" fillId="2" borderId="0" xfId="0" applyFont="1" applyFill="1"/>
    <xf numFmtId="164" fontId="3" fillId="2" borderId="5" xfId="1" applyNumberFormat="1" applyFont="1" applyFill="1" applyBorder="1"/>
    <xf numFmtId="164" fontId="4" fillId="2" borderId="5" xfId="1" applyNumberFormat="1" applyFont="1" applyFill="1" applyBorder="1"/>
    <xf numFmtId="164" fontId="3" fillId="2" borderId="0" xfId="0" applyNumberFormat="1" applyFont="1" applyFill="1"/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164" fontId="3" fillId="2" borderId="8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0" xfId="0" applyFont="1"/>
    <xf numFmtId="0" fontId="0" fillId="0" borderId="7" xfId="0" applyBorder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2" applyFont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7" fillId="3" borderId="6" xfId="0" applyFont="1" applyFill="1" applyBorder="1"/>
    <xf numFmtId="9" fontId="7" fillId="3" borderId="7" xfId="0" applyNumberFormat="1" applyFont="1" applyFill="1" applyBorder="1" applyAlignment="1">
      <alignment horizontal="center"/>
    </xf>
    <xf numFmtId="164" fontId="7" fillId="3" borderId="8" xfId="0" applyNumberFormat="1" applyFont="1" applyFill="1" applyBorder="1" applyAlignment="1">
      <alignment horizontal="center"/>
    </xf>
    <xf numFmtId="0" fontId="9" fillId="0" borderId="4" xfId="0" applyFont="1" applyBorder="1"/>
    <xf numFmtId="9" fontId="9" fillId="0" borderId="0" xfId="2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164" fontId="3" fillId="0" borderId="5" xfId="1" applyNumberFormat="1" applyFont="1" applyBorder="1" applyProtection="1">
      <protection locked="0"/>
    </xf>
    <xf numFmtId="10" fontId="3" fillId="0" borderId="5" xfId="2" applyNumberFormat="1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8" fillId="5" borderId="3" xfId="0" applyFont="1" applyFill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>
                <a:solidFill>
                  <a:schemeClr val="tx1"/>
                </a:solidFill>
              </a:rPr>
              <a:t>Distribuição</a:t>
            </a:r>
            <a:r>
              <a:rPr lang="en-US" sz="1600" b="1" i="1" baseline="0">
                <a:solidFill>
                  <a:schemeClr val="tx1"/>
                </a:solidFill>
              </a:rPr>
              <a:t> de Alocação FII</a:t>
            </a:r>
            <a:endParaRPr lang="en-US" sz="1600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02274860726888"/>
          <c:y val="0.22220447292420417"/>
          <c:w val="0.65395450278546219"/>
          <c:h val="0.7242305889941658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84-456C-B5DB-DAE808296BE9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84-456C-B5DB-DAE808296BE9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84-456C-B5DB-DAE808296BE9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E84-456C-B5DB-DAE808296BE9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E84-456C-B5DB-DAE808296BE9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84-456C-B5DB-DAE808296BE9}"/>
              </c:ext>
            </c:extLst>
          </c:dPt>
          <c:dLbls>
            <c:dLbl>
              <c:idx val="0"/>
              <c:layout>
                <c:manualLayout>
                  <c:x val="9.5652195743967883E-2"/>
                  <c:y val="0.11355430703439418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84-456C-B5DB-DAE808296BE9}"/>
                </c:ext>
              </c:extLst>
            </c:dLbl>
            <c:dLbl>
              <c:idx val="1"/>
              <c:layout>
                <c:manualLayout>
                  <c:x val="0.38590423049280626"/>
                  <c:y val="-9.6301175480962443E-3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84-456C-B5DB-DAE808296BE9}"/>
                </c:ext>
              </c:extLst>
            </c:dLbl>
            <c:dLbl>
              <c:idx val="2"/>
              <c:layout>
                <c:manualLayout>
                  <c:x val="-2.6086962475627633E-2"/>
                  <c:y val="3.5005350907834347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84-456C-B5DB-DAE808296BE9}"/>
                </c:ext>
              </c:extLst>
            </c:dLbl>
            <c:dLbl>
              <c:idx val="3"/>
              <c:layout>
                <c:manualLayout>
                  <c:x val="-7.8260887426882905E-2"/>
                  <c:y val="4.5421722813757705E-3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84-456C-B5DB-DAE808296BE9}"/>
                </c:ext>
              </c:extLst>
            </c:dLbl>
            <c:dLbl>
              <c:idx val="4"/>
              <c:layout>
                <c:manualLayout>
                  <c:x val="0"/>
                  <c:y val="-1.66942258219596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84-456C-B5DB-DAE808296BE9}"/>
                </c:ext>
              </c:extLst>
            </c:dLbl>
            <c:dLbl>
              <c:idx val="5"/>
              <c:layout>
                <c:manualLayout>
                  <c:x val="0.3420290635693401"/>
                  <c:y val="2.9979134165129494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84-456C-B5DB-DAE808296B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Calculadora!$C$32:$C$37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4-456C-B5DB-DAE808296BE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E48-4AFE-8C4E-25C5145BA61A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E48-4AFE-8C4E-25C5145BA61A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E48-4AFE-8C4E-25C5145BA61A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E48-4AFE-8C4E-25C5145BA61A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E48-4AFE-8C4E-25C5145BA61A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E48-4AFE-8C4E-25C5145BA6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Calculadora!$D$32:$D$37</c:f>
              <c:numCache>
                <c:formatCode>"R$"\ #,##0.00</c:formatCode>
                <c:ptCount val="6"/>
                <c:pt idx="0">
                  <c:v>207.80999999999997</c:v>
                </c:pt>
                <c:pt idx="1">
                  <c:v>346.34999999999997</c:v>
                </c:pt>
                <c:pt idx="2">
                  <c:v>69.27</c:v>
                </c:pt>
                <c:pt idx="3">
                  <c:v>69.27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4-456C-B5DB-DAE808296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4</xdr:col>
      <xdr:colOff>277091</xdr:colOff>
      <xdr:row>3</xdr:row>
      <xdr:rowOff>94881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2C7410-4232-65C8-3DEB-C3C93A26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4846493" cy="718336"/>
        </a:xfrm>
        <a:prstGeom prst="rect">
          <a:avLst/>
        </a:prstGeom>
      </xdr:spPr>
    </xdr:pic>
    <xdr:clientData/>
  </xdr:twoCellAnchor>
  <xdr:twoCellAnchor>
    <xdr:from>
      <xdr:col>0</xdr:col>
      <xdr:colOff>580159</xdr:colOff>
      <xdr:row>38</xdr:row>
      <xdr:rowOff>104775</xdr:rowOff>
    </xdr:from>
    <xdr:to>
      <xdr:col>3</xdr:col>
      <xdr:colOff>995794</xdr:colOff>
      <xdr:row>57</xdr:row>
      <xdr:rowOff>112568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798A52-C0CC-C669-45CF-E05794483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49E2-B05C-4EFE-A898-F6B0F7575F93}">
  <dimension ref="A5:E62"/>
  <sheetViews>
    <sheetView showGridLines="0" showRowColHeaders="0" tabSelected="1" zoomScale="110" zoomScaleNormal="110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6.5" x14ac:dyDescent="0.3"/>
  <cols>
    <col min="1" max="1" width="9.140625" style="1" customWidth="1"/>
    <col min="2" max="2" width="34.85546875" style="1" bestFit="1" customWidth="1"/>
    <col min="3" max="3" width="15.5703125" style="1" bestFit="1" customWidth="1"/>
    <col min="4" max="4" width="15.140625" style="1" bestFit="1" customWidth="1"/>
    <col min="5" max="5" width="13.42578125" style="1" customWidth="1"/>
    <col min="6" max="16384" width="9.140625" style="1" hidden="1"/>
  </cols>
  <sheetData>
    <row r="5" spans="1:4" ht="17.25" thickBot="1" x14ac:dyDescent="0.35"/>
    <row r="6" spans="1:4" ht="17.25" x14ac:dyDescent="0.3">
      <c r="B6" s="31" t="s">
        <v>7</v>
      </c>
      <c r="C6" s="32"/>
      <c r="D6" s="33"/>
    </row>
    <row r="7" spans="1:4" x14ac:dyDescent="0.3">
      <c r="A7" s="1" t="s">
        <v>1</v>
      </c>
      <c r="B7" s="2" t="s">
        <v>8</v>
      </c>
      <c r="D7" s="36">
        <v>2309</v>
      </c>
    </row>
    <row r="8" spans="1:4" x14ac:dyDescent="0.3">
      <c r="B8" s="2" t="s">
        <v>9</v>
      </c>
      <c r="D8" s="37">
        <v>0.01</v>
      </c>
    </row>
    <row r="9" spans="1:4" ht="17.25" thickBot="1" x14ac:dyDescent="0.35">
      <c r="B9" s="3" t="s">
        <v>36</v>
      </c>
      <c r="C9" s="4"/>
      <c r="D9" s="5">
        <f>Salario*30%</f>
        <v>692.69999999999993</v>
      </c>
    </row>
    <row r="10" spans="1:4" ht="17.25" thickBot="1" x14ac:dyDescent="0.35"/>
    <row r="11" spans="1:4" ht="17.25" x14ac:dyDescent="0.3">
      <c r="B11" s="31" t="s">
        <v>0</v>
      </c>
      <c r="C11" s="32"/>
      <c r="D11" s="33"/>
    </row>
    <row r="12" spans="1:4" x14ac:dyDescent="0.3">
      <c r="B12" s="6" t="s">
        <v>2</v>
      </c>
      <c r="C12" s="7"/>
      <c r="D12" s="8">
        <f>SugestInvest</f>
        <v>692.69999999999993</v>
      </c>
    </row>
    <row r="13" spans="1:4" x14ac:dyDescent="0.3">
      <c r="B13" s="2" t="s">
        <v>3</v>
      </c>
      <c r="D13" s="38">
        <v>5</v>
      </c>
    </row>
    <row r="14" spans="1:4" x14ac:dyDescent="0.3">
      <c r="B14" s="2" t="s">
        <v>4</v>
      </c>
      <c r="D14" s="37">
        <v>1.0789999999999999E-2</v>
      </c>
    </row>
    <row r="15" spans="1:4" x14ac:dyDescent="0.3">
      <c r="B15" s="6" t="s">
        <v>5</v>
      </c>
      <c r="C15" s="7"/>
      <c r="D15" s="9">
        <f>FV(Taxa,Anos*12,D12*(-1))</f>
        <v>58032.268326752383</v>
      </c>
    </row>
    <row r="16" spans="1:4" ht="17.25" thickBot="1" x14ac:dyDescent="0.35">
      <c r="B16" s="3" t="s">
        <v>6</v>
      </c>
      <c r="C16" s="4"/>
      <c r="D16" s="5">
        <f>$D$15*D14</f>
        <v>626.16817524565818</v>
      </c>
    </row>
    <row r="17" spans="1:4" ht="17.25" thickBot="1" x14ac:dyDescent="0.35"/>
    <row r="18" spans="1:4" ht="17.25" x14ac:dyDescent="0.3">
      <c r="B18" s="31" t="s">
        <v>10</v>
      </c>
      <c r="C18" s="32"/>
      <c r="D18" s="16" t="s">
        <v>19</v>
      </c>
    </row>
    <row r="19" spans="1:4" x14ac:dyDescent="0.3">
      <c r="A19" s="17">
        <v>2</v>
      </c>
      <c r="B19" s="6" t="s">
        <v>11</v>
      </c>
      <c r="C19" s="10">
        <f t="shared" ref="C19:C26" si="0">FV(Taxa,$A19*12,$D$12*(-1))</f>
        <v>18860.577429078839</v>
      </c>
      <c r="D19" s="11">
        <f t="shared" ref="D19:D26" si="1">C19*Taxa</f>
        <v>203.50563045976065</v>
      </c>
    </row>
    <row r="20" spans="1:4" x14ac:dyDescent="0.3">
      <c r="A20" s="17">
        <v>5</v>
      </c>
      <c r="B20" s="6" t="s">
        <v>12</v>
      </c>
      <c r="C20" s="10">
        <f t="shared" si="0"/>
        <v>58032.268326752383</v>
      </c>
      <c r="D20" s="11">
        <f t="shared" si="1"/>
        <v>626.16817524565818</v>
      </c>
    </row>
    <row r="21" spans="1:4" x14ac:dyDescent="0.3">
      <c r="A21" s="17">
        <v>10</v>
      </c>
      <c r="B21" s="6" t="s">
        <v>13</v>
      </c>
      <c r="C21" s="10">
        <f t="shared" si="0"/>
        <v>168522.97401965025</v>
      </c>
      <c r="D21" s="11">
        <f t="shared" si="1"/>
        <v>1818.3628896720261</v>
      </c>
    </row>
    <row r="22" spans="1:4" x14ac:dyDescent="0.3">
      <c r="A22" s="17">
        <v>15</v>
      </c>
      <c r="B22" s="6" t="s">
        <v>14</v>
      </c>
      <c r="C22" s="10">
        <f t="shared" si="0"/>
        <v>378892.07377249753</v>
      </c>
      <c r="D22" s="11">
        <f t="shared" si="1"/>
        <v>4088.2454760052483</v>
      </c>
    </row>
    <row r="23" spans="1:4" x14ac:dyDescent="0.3">
      <c r="A23" s="17">
        <v>20</v>
      </c>
      <c r="B23" s="6" t="s">
        <v>15</v>
      </c>
      <c r="C23" s="10">
        <f t="shared" si="0"/>
        <v>779424.9317472477</v>
      </c>
      <c r="D23" s="11">
        <f t="shared" si="1"/>
        <v>8409.9950135528015</v>
      </c>
    </row>
    <row r="24" spans="1:4" x14ac:dyDescent="0.3">
      <c r="A24" s="17">
        <v>25</v>
      </c>
      <c r="B24" s="6" t="s">
        <v>16</v>
      </c>
      <c r="C24" s="10">
        <f t="shared" si="0"/>
        <v>1542020.6290521233</v>
      </c>
      <c r="D24" s="11">
        <f t="shared" si="1"/>
        <v>16638.40258747241</v>
      </c>
    </row>
    <row r="25" spans="1:4" x14ac:dyDescent="0.3">
      <c r="A25" s="17">
        <v>30</v>
      </c>
      <c r="B25" s="6" t="s">
        <v>17</v>
      </c>
      <c r="C25" s="10">
        <f t="shared" si="0"/>
        <v>2993966.9200217654</v>
      </c>
      <c r="D25" s="11">
        <f t="shared" si="1"/>
        <v>32304.903067034847</v>
      </c>
    </row>
    <row r="26" spans="1:4" ht="17.25" thickBot="1" x14ac:dyDescent="0.35">
      <c r="A26" s="17">
        <v>35</v>
      </c>
      <c r="B26" s="3" t="s">
        <v>18</v>
      </c>
      <c r="C26" s="12">
        <f t="shared" si="0"/>
        <v>5758404.2743249759</v>
      </c>
      <c r="D26" s="13">
        <f t="shared" si="1"/>
        <v>62133.182119966485</v>
      </c>
    </row>
    <row r="27" spans="1:4" ht="17.25" thickBot="1" x14ac:dyDescent="0.35"/>
    <row r="28" spans="1:4" ht="17.25" x14ac:dyDescent="0.3">
      <c r="B28" s="31" t="s">
        <v>20</v>
      </c>
      <c r="C28" s="32"/>
      <c r="D28" s="39" t="s">
        <v>31</v>
      </c>
    </row>
    <row r="29" spans="1:4" ht="17.25" thickBot="1" x14ac:dyDescent="0.35">
      <c r="B29" s="34" t="s">
        <v>21</v>
      </c>
      <c r="C29" s="35"/>
      <c r="D29" s="24">
        <f>Aporte</f>
        <v>692.69999999999993</v>
      </c>
    </row>
    <row r="30" spans="1:4" ht="17.25" thickBot="1" x14ac:dyDescent="0.35"/>
    <row r="31" spans="1:4" ht="17.25" x14ac:dyDescent="0.3">
      <c r="B31" s="14" t="s">
        <v>22</v>
      </c>
      <c r="C31" s="15" t="s">
        <v>23</v>
      </c>
      <c r="D31" s="16" t="s">
        <v>24</v>
      </c>
    </row>
    <row r="32" spans="1:4" ht="17.25" x14ac:dyDescent="0.3">
      <c r="B32" s="28" t="s">
        <v>25</v>
      </c>
      <c r="C32" s="29">
        <f>VLOOKUP($D$28&amp;"-"&amp;B32,Tb_Apoio!$A:$D,4,FALSE)</f>
        <v>0.3</v>
      </c>
      <c r="D32" s="30">
        <f>$D$29*C32</f>
        <v>207.80999999999997</v>
      </c>
    </row>
    <row r="33" spans="2:4" ht="17.25" x14ac:dyDescent="0.3">
      <c r="B33" s="28" t="s">
        <v>26</v>
      </c>
      <c r="C33" s="29">
        <f>VLOOKUP($D$28&amp;"-"&amp;B33,Tb_Apoio!$A:$D,4,FALSE)</f>
        <v>0.5</v>
      </c>
      <c r="D33" s="30">
        <f t="shared" ref="D33:D37" si="2">$D$29*C33</f>
        <v>346.34999999999997</v>
      </c>
    </row>
    <row r="34" spans="2:4" ht="17.25" x14ac:dyDescent="0.3">
      <c r="B34" s="28" t="s">
        <v>27</v>
      </c>
      <c r="C34" s="29">
        <f>VLOOKUP($D$28&amp;"-"&amp;B34,Tb_Apoio!$A:$D,4,FALSE)</f>
        <v>0.1</v>
      </c>
      <c r="D34" s="30">
        <f t="shared" si="2"/>
        <v>69.27</v>
      </c>
    </row>
    <row r="35" spans="2:4" ht="17.25" x14ac:dyDescent="0.3">
      <c r="B35" s="28" t="s">
        <v>28</v>
      </c>
      <c r="C35" s="29">
        <f>VLOOKUP($D$28&amp;"-"&amp;B35,Tb_Apoio!$A:$D,4,FALSE)</f>
        <v>0.1</v>
      </c>
      <c r="D35" s="30">
        <f t="shared" si="2"/>
        <v>69.27</v>
      </c>
    </row>
    <row r="36" spans="2:4" ht="17.25" x14ac:dyDescent="0.3">
      <c r="B36" s="28" t="s">
        <v>29</v>
      </c>
      <c r="C36" s="29">
        <f>VLOOKUP($D$28&amp;"-"&amp;B36,Tb_Apoio!$A:$D,4,FALSE)</f>
        <v>0</v>
      </c>
      <c r="D36" s="30">
        <f t="shared" si="2"/>
        <v>0</v>
      </c>
    </row>
    <row r="37" spans="2:4" ht="17.25" x14ac:dyDescent="0.3">
      <c r="B37" s="28" t="s">
        <v>30</v>
      </c>
      <c r="C37" s="29">
        <f>VLOOKUP($D$28&amp;"-"&amp;B37,Tb_Apoio!$A:$D,4,FALSE)</f>
        <v>0</v>
      </c>
      <c r="D37" s="30">
        <f t="shared" si="2"/>
        <v>0</v>
      </c>
    </row>
    <row r="38" spans="2:4" ht="17.25" thickBot="1" x14ac:dyDescent="0.35">
      <c r="B38" s="25"/>
      <c r="C38" s="26">
        <f>SUM(C32:C37)</f>
        <v>1</v>
      </c>
      <c r="D38" s="27">
        <f>SUM(D32:D37)</f>
        <v>692.69999999999993</v>
      </c>
    </row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</sheetData>
  <sheetProtection algorithmName="SHA-512" hashValue="fRyBtnkFqZNMGSOxiZJNNc5+nlWvOfVW/UE8zHdekgAKUxH208A/zjMtv2NWVKprk3PpJH3fnqAL/cjY9YBu1g==" saltValue="DCsVpbsf4MvPjT+mPw93Nw==" spinCount="100000" sheet="1" objects="1" scenarios="1"/>
  <mergeCells count="5">
    <mergeCell ref="B11:D11"/>
    <mergeCell ref="B6:D6"/>
    <mergeCell ref="B18:C18"/>
    <mergeCell ref="B28:C28"/>
    <mergeCell ref="B29:C29"/>
  </mergeCells>
  <dataValidations count="1">
    <dataValidation type="list" allowBlank="1" showInputMessage="1" showErrorMessage="1" sqref="D28" xr:uid="{27D770DA-10A0-4B0C-BBB6-6830F710E05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FD12-B95B-406D-BC47-0E304CECAA04}">
  <dimension ref="A4:D22"/>
  <sheetViews>
    <sheetView topLeftCell="A4" workbookViewId="0">
      <selection activeCell="D15" sqref="D15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  <col min="4" max="4" width="11.28515625" bestFit="1" customWidth="1"/>
  </cols>
  <sheetData>
    <row r="4" spans="1:4" x14ac:dyDescent="0.25">
      <c r="A4" s="19" t="s">
        <v>35</v>
      </c>
      <c r="B4" s="19" t="s">
        <v>20</v>
      </c>
      <c r="C4" s="19" t="s">
        <v>22</v>
      </c>
      <c r="D4" s="19" t="s">
        <v>34</v>
      </c>
    </row>
    <row r="5" spans="1:4" x14ac:dyDescent="0.25">
      <c r="A5" t="str">
        <f>B5&amp;"-"&amp;C5</f>
        <v>Conservador-Papel</v>
      </c>
      <c r="B5" s="20" t="s">
        <v>31</v>
      </c>
      <c r="C5" s="20" t="s">
        <v>25</v>
      </c>
      <c r="D5" s="21">
        <v>0.3</v>
      </c>
    </row>
    <row r="6" spans="1:4" x14ac:dyDescent="0.25">
      <c r="A6" t="str">
        <f t="shared" ref="A6:A22" si="0">B6&amp;"-"&amp;C6</f>
        <v>Conservador-Tijolo</v>
      </c>
      <c r="B6" s="20" t="s">
        <v>31</v>
      </c>
      <c r="C6" s="20" t="s">
        <v>26</v>
      </c>
      <c r="D6" s="21">
        <v>0.5</v>
      </c>
    </row>
    <row r="7" spans="1:4" x14ac:dyDescent="0.25">
      <c r="A7" t="str">
        <f t="shared" si="0"/>
        <v>Conservador-Híbridos</v>
      </c>
      <c r="B7" s="20" t="s">
        <v>31</v>
      </c>
      <c r="C7" s="20" t="s">
        <v>27</v>
      </c>
      <c r="D7" s="21">
        <v>0.1</v>
      </c>
    </row>
    <row r="8" spans="1:4" x14ac:dyDescent="0.25">
      <c r="A8" t="str">
        <f t="shared" si="0"/>
        <v>Conservador-FOFs</v>
      </c>
      <c r="B8" s="20" t="s">
        <v>31</v>
      </c>
      <c r="C8" s="20" t="s">
        <v>28</v>
      </c>
      <c r="D8" s="21">
        <v>0.1</v>
      </c>
    </row>
    <row r="9" spans="1:4" x14ac:dyDescent="0.25">
      <c r="A9" t="str">
        <f t="shared" si="0"/>
        <v>Conservador-Desenvolvimento</v>
      </c>
      <c r="B9" s="20" t="s">
        <v>31</v>
      </c>
      <c r="C9" s="20" t="s">
        <v>29</v>
      </c>
      <c r="D9" s="21">
        <v>0</v>
      </c>
    </row>
    <row r="10" spans="1:4" ht="15.75" thickBot="1" x14ac:dyDescent="0.3">
      <c r="A10" s="18" t="str">
        <f t="shared" si="0"/>
        <v>Conservador-Hotelarias</v>
      </c>
      <c r="B10" s="22" t="s">
        <v>31</v>
      </c>
      <c r="C10" s="22" t="s">
        <v>30</v>
      </c>
      <c r="D10" s="23">
        <v>0</v>
      </c>
    </row>
    <row r="11" spans="1:4" x14ac:dyDescent="0.25">
      <c r="A11" t="str">
        <f t="shared" si="0"/>
        <v>Moderado-Papel</v>
      </c>
      <c r="B11" s="20" t="s">
        <v>32</v>
      </c>
      <c r="C11" s="20" t="s">
        <v>25</v>
      </c>
      <c r="D11" s="21">
        <v>0.32</v>
      </c>
    </row>
    <row r="12" spans="1:4" x14ac:dyDescent="0.25">
      <c r="A12" t="str">
        <f t="shared" si="0"/>
        <v>Moderado-Tijolo</v>
      </c>
      <c r="B12" s="20" t="s">
        <v>32</v>
      </c>
      <c r="C12" s="20" t="s">
        <v>26</v>
      </c>
      <c r="D12" s="21">
        <v>0.35</v>
      </c>
    </row>
    <row r="13" spans="1:4" x14ac:dyDescent="0.25">
      <c r="A13" t="str">
        <f t="shared" si="0"/>
        <v>Moderado-Híbridos</v>
      </c>
      <c r="B13" s="20" t="s">
        <v>32</v>
      </c>
      <c r="C13" s="20" t="s">
        <v>27</v>
      </c>
      <c r="D13" s="21">
        <v>0.08</v>
      </c>
    </row>
    <row r="14" spans="1:4" x14ac:dyDescent="0.25">
      <c r="A14" t="str">
        <f t="shared" si="0"/>
        <v>Moderado-FOFs</v>
      </c>
      <c r="B14" s="20" t="s">
        <v>32</v>
      </c>
      <c r="C14" s="20" t="s">
        <v>28</v>
      </c>
      <c r="D14" s="21">
        <v>0.05</v>
      </c>
    </row>
    <row r="15" spans="1:4" x14ac:dyDescent="0.25">
      <c r="A15" t="str">
        <f t="shared" si="0"/>
        <v>Moderado-Desenvolvimento</v>
      </c>
      <c r="B15" s="20" t="s">
        <v>32</v>
      </c>
      <c r="C15" s="20" t="s">
        <v>29</v>
      </c>
      <c r="D15" s="21">
        <v>0.1</v>
      </c>
    </row>
    <row r="16" spans="1:4" ht="15.75" thickBot="1" x14ac:dyDescent="0.3">
      <c r="A16" s="18" t="str">
        <f t="shared" si="0"/>
        <v>Moderado-Hotelarias</v>
      </c>
      <c r="B16" s="22" t="s">
        <v>32</v>
      </c>
      <c r="C16" s="22" t="s">
        <v>30</v>
      </c>
      <c r="D16" s="23">
        <v>0.1</v>
      </c>
    </row>
    <row r="17" spans="1:4" x14ac:dyDescent="0.25">
      <c r="A17" t="str">
        <f t="shared" si="0"/>
        <v>Agressivo-Papel</v>
      </c>
      <c r="B17" s="20" t="s">
        <v>33</v>
      </c>
      <c r="C17" s="20" t="s">
        <v>25</v>
      </c>
      <c r="D17" s="21">
        <v>0.5</v>
      </c>
    </row>
    <row r="18" spans="1:4" x14ac:dyDescent="0.25">
      <c r="A18" t="str">
        <f t="shared" si="0"/>
        <v>Agressivo-Tijolo</v>
      </c>
      <c r="B18" s="20" t="s">
        <v>33</v>
      </c>
      <c r="C18" s="20" t="s">
        <v>26</v>
      </c>
      <c r="D18" s="21">
        <v>0.1</v>
      </c>
    </row>
    <row r="19" spans="1:4" x14ac:dyDescent="0.25">
      <c r="A19" t="str">
        <f t="shared" si="0"/>
        <v>Agressivo-Híbridos</v>
      </c>
      <c r="B19" s="20" t="s">
        <v>33</v>
      </c>
      <c r="C19" s="20" t="s">
        <v>27</v>
      </c>
      <c r="D19" s="21">
        <v>0.05</v>
      </c>
    </row>
    <row r="20" spans="1:4" x14ac:dyDescent="0.25">
      <c r="A20" t="str">
        <f t="shared" si="0"/>
        <v>Agressivo-FOFs</v>
      </c>
      <c r="B20" s="20" t="s">
        <v>33</v>
      </c>
      <c r="C20" s="20" t="s">
        <v>28</v>
      </c>
      <c r="D20" s="21">
        <v>0.05</v>
      </c>
    </row>
    <row r="21" spans="1:4" x14ac:dyDescent="0.25">
      <c r="A21" t="str">
        <f t="shared" si="0"/>
        <v>Agressivo-Desenvolvimento</v>
      </c>
      <c r="B21" s="20" t="s">
        <v>33</v>
      </c>
      <c r="C21" s="20" t="s">
        <v>29</v>
      </c>
      <c r="D21" s="21">
        <v>0.2</v>
      </c>
    </row>
    <row r="22" spans="1:4" x14ac:dyDescent="0.25">
      <c r="A22" t="str">
        <f t="shared" si="0"/>
        <v>Agressivo-Hotelarias</v>
      </c>
      <c r="B22" s="20" t="s">
        <v>33</v>
      </c>
      <c r="C22" s="20" t="s">
        <v>30</v>
      </c>
      <c r="D22" s="2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Calculadora</vt:lpstr>
      <vt:lpstr>Tb_Apoio</vt:lpstr>
      <vt:lpstr>Anos</vt:lpstr>
      <vt:lpstr>Aporte</vt:lpstr>
      <vt:lpstr>DivMensais</vt:lpstr>
      <vt:lpstr>RendCarteira</vt:lpstr>
      <vt:lpstr>Salario</vt:lpstr>
      <vt:lpstr>Sugestao_Invest</vt:lpstr>
      <vt:lpstr>SugestInvest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 CUNHA DA SILVA - Secretaria Acadêmica de Estágios e Internatos</dc:creator>
  <cp:lastModifiedBy>EVELIN CUNHA DA SILVA - Secretaria Acadêmica de Estági</cp:lastModifiedBy>
  <dcterms:created xsi:type="dcterms:W3CDTF">2026-08-20T14:54:10Z</dcterms:created>
  <dcterms:modified xsi:type="dcterms:W3CDTF">2026-08-22T19:13:43Z</dcterms:modified>
</cp:coreProperties>
</file>
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ário\Documents\santander-excel-ia-claude\desafio-calculadora-imposto-renda\"/>
    </mc:Choice>
  </mc:AlternateContent>
  <xr:revisionPtr revIDLastSave="0" documentId="13_ncr:1_{32F3B753-587D-4EB8-A986-6E6CDD74E28D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ITULAR" sheetId="1" r:id="rId1"/>
    <sheet name="INFORMES" sheetId="5" r:id="rId2"/>
    <sheet name="NOTAS" sheetId="6" r:id="rId3"/>
    <sheet name="TABEL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<sst xmlns="http://schemas.openxmlformats.org/spreadsheetml/2006/main" count="210" uniqueCount="193">
  <si>
    <t>1. DADOS DO TITULAR</t>
  </si>
  <si>
    <t>Preencha abaixo os dados da sua pessoa física abaixo</t>
  </si>
  <si>
    <t>NOME</t>
  </si>
  <si>
    <t>FULANO DE TAL DA SILVA</t>
  </si>
  <si>
    <t>CPF</t>
  </si>
  <si>
    <t>NASCIMENTO</t>
  </si>
  <si>
    <t>TÍTULO DE ELEITOR</t>
  </si>
  <si>
    <t>CÔNJUGE</t>
  </si>
  <si>
    <t>FULANA DA SILVA</t>
  </si>
  <si>
    <t>RUA</t>
  </si>
  <si>
    <t>Rua das Coisas Aleatórias, n° 1000 - Distrito N</t>
  </si>
  <si>
    <t>RUA ABREVIADA</t>
  </si>
  <si>
    <t>Rua das C. Aleatórias, n° 1000 - Distrito N</t>
  </si>
  <si>
    <t>CEP</t>
  </si>
  <si>
    <t>TELEFONE</t>
  </si>
  <si>
    <t>CELULAR</t>
  </si>
  <si>
    <t>EMAIL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</si>
  <si>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</si>
  <si>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</si>
  <si>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</si>
  <si>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</si>
  <si>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</si>
  <si>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</si>
  <si>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</si>
  <si>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BANCO</t>
  </si>
  <si>
    <t>BANCO N</t>
  </si>
  <si>
    <t>VALOR ATUAL</t>
  </si>
  <si>
    <t>ANEXO 🖇️</t>
  </si>
  <si>
    <t>BANCON.PDF</t>
  </si>
  <si>
    <t>BANCOS</t>
  </si>
  <si>
    <t>001 - Banco do Brasil S.A.</t>
  </si>
  <si>
    <t>003 - Banco da Amazônia S.A.</t>
  </si>
  <si>
    <t>004 - Banco do Nordeste do Brasil S.A.</t>
  </si>
  <si>
    <t>007 - Banco Nacional de Desenvolvimento Econômico e Social (BNDES)</t>
  </si>
  <si>
    <t>012 - Banco Inbursa S.A.</t>
  </si>
  <si>
    <t>014 - Natixis Brasil S.A. Banco Múltiplo</t>
  </si>
  <si>
    <t>019 - Banco Azteca do Brasil S.A.</t>
  </si>
  <si>
    <t>021 - Banestes S.A. Banco do Estado do Espírito Santo</t>
  </si>
  <si>
    <t>024 - Banco de Pernambuco S.A. - BANDEPE</t>
  </si>
  <si>
    <t>025 - Banco Alfa S.A.</t>
  </si>
  <si>
    <t>029 - Banco Itaú Consignado S.A.</t>
  </si>
  <si>
    <t>033 - Banco Santander (Brasil) S.A.</t>
  </si>
  <si>
    <t>036 - Banco Bradesco BBI S.A.</t>
  </si>
  <si>
    <t>037 - Banco do Estado do Pará S.A.</t>
  </si>
  <si>
    <t>040 - Banco Cargill S.A.</t>
  </si>
  <si>
    <t>041 - Banco do Estado do Rio Grande do Sul S.A.</t>
  </si>
  <si>
    <t>044 - Banco BVA S.A.</t>
  </si>
  <si>
    <t>045 - Banco Opportunity S.A.</t>
  </si>
  <si>
    <t>047 - Banco do Estado de Sergipe S.A.</t>
  </si>
  <si>
    <t>062 - Hipercard Banco Múltiplo S.A.</t>
  </si>
  <si>
    <t>063 - Banco IBI S.A. - Banco Múltiplo</t>
  </si>
  <si>
    <t>064 - Goldman Sachs do Brasil Banco Múltiplo S.A.</t>
  </si>
  <si>
    <t>065 - Banco AndBank (Brasil) S.A.</t>
  </si>
  <si>
    <t>066 - Banco Morgan Stanley S.A.</t>
  </si>
  <si>
    <t>069 - Banco Crefisa S.A.</t>
  </si>
  <si>
    <t>070 - BRB - Banco de Brasília S.A.</t>
  </si>
  <si>
    <t>072 - Banco Rural Mais S.A.</t>
  </si>
  <si>
    <t>073 - BB Banco Popular do Brasil S.A.</t>
  </si>
  <si>
    <t>074 - Banco J. Safra S.A.</t>
  </si>
  <si>
    <t>075 - Banco ABN AMRO Clearing S.A.</t>
  </si>
  <si>
    <t>076 - Banco KDB do Brasil S.A.</t>
  </si>
  <si>
    <t>077 - Banco Inter S.A.</t>
  </si>
  <si>
    <t>078 - Haitong Banco de Investimento do Brasil S.A.</t>
  </si>
  <si>
    <t>079 - JBS Banco S/A</t>
  </si>
  <si>
    <t>080 - BT Corretora de Câmbio LTDA</t>
  </si>
  <si>
    <t>081 - BancoSeguro S.A.</t>
  </si>
  <si>
    <t>082 - Banco Topázio S.A.</t>
  </si>
  <si>
    <t>083 - Banco da China Brasil S.A.</t>
  </si>
  <si>
    <t>094 - Banco Finaxis S.A.</t>
  </si>
  <si>
    <t>095 - Banco Travelex S.A.</t>
  </si>
  <si>
    <t>096 - Banco B3 S.A.</t>
  </si>
  <si>
    <t>104 - Caixa Econômica Federal</t>
  </si>
  <si>
    <t>107 - Banco Bocom BBM S.A.</t>
  </si>
  <si>
    <t>119 - Banco Western Union do Brasil S.A.</t>
  </si>
  <si>
    <t>120 - Banco Rodobens S.A.</t>
  </si>
  <si>
    <t>121 - Banco Agibank S.A.</t>
  </si>
  <si>
    <t>122 - Banco Bradesco BERJ S.A.</t>
  </si>
  <si>
    <t>124 - Banco Woori Bank do Brasil S.A.</t>
  </si>
  <si>
    <t>125 - Banco Genial S.A.</t>
  </si>
  <si>
    <t>128 - Braza Bank Banco de Câmbio S.A.</t>
  </si>
  <si>
    <t>132 - ICBC do Brasil Banco Múltiplo S.A.</t>
  </si>
  <si>
    <t>151 - Banco Nossa Caixa S.A.</t>
  </si>
  <si>
    <t>184 - Itaú BBA S.A.</t>
  </si>
  <si>
    <t>204 - Banco Bradesco Cartões S.A.</t>
  </si>
  <si>
    <t>208 - Banco BTG Pactual S.A.</t>
  </si>
  <si>
    <t>212 - Banco Original S.A.</t>
  </si>
  <si>
    <t>213 - Banco Arbi S.A.</t>
  </si>
  <si>
    <t>217 - Banco John Deere S.A.</t>
  </si>
  <si>
    <t>218 - Banco BS2 S.A.</t>
  </si>
  <si>
    <t>222 - Banco Crédit Agricole Brasil S.A.</t>
  </si>
  <si>
    <t>224 - Banco Fibra S.A.</t>
  </si>
  <si>
    <t>225 - Banco Brascan S.A.</t>
  </si>
  <si>
    <t>229 - Banco Cruzeiro do Sul S.A.</t>
  </si>
  <si>
    <t>230 - Unicard Banco Múltiplo S.A.</t>
  </si>
  <si>
    <t>233 - Banco Cifra S.A.</t>
  </si>
  <si>
    <t>237 - Banco Bradesco S.A.</t>
  </si>
  <si>
    <t>241 - Banco Clássico S.A.</t>
  </si>
  <si>
    <t>243 - Banco Máxima S.A.</t>
  </si>
  <si>
    <t>246 - Banco ABC Brasil S.A.</t>
  </si>
  <si>
    <t>248 - Banco Boavista Interatlantico S.A.</t>
  </si>
  <si>
    <t>249 - Banco Investcred Unibanco S.A.</t>
  </si>
  <si>
    <t>250 - Banco Schahin S.A.</t>
  </si>
  <si>
    <t>254 - Paraná Banco S.A.</t>
  </si>
  <si>
    <t>260 - Nu Pagamentos S.A. (Nubank)</t>
  </si>
  <si>
    <t>263 - Banco Cacique S.A.</t>
  </si>
  <si>
    <t>265 - Banco Fator S.A.</t>
  </si>
  <si>
    <t>266 - Banco Cedula S.A.</t>
  </si>
  <si>
    <t>268 - Bari Companhia Hipotecária</t>
  </si>
  <si>
    <t>269 - HSBC Bank Brasil S.A. - Banco Múltiplo</t>
  </si>
  <si>
    <t>280 - Avista S.A. Crédito</t>
  </si>
  <si>
    <t>299 - Banco Afinz - Banco Múltiplo S.A.</t>
  </si>
  <si>
    <t>300 - Banco de la Nacion Argentina</t>
  </si>
  <si>
    <t>313 - Amazônia Corretora de Câmbio Ltda</t>
  </si>
  <si>
    <t>318 - Banco BMG S.A.</t>
  </si>
  <si>
    <t>320 - Bank of China (Brasil) Banco Múltiplo S.A.</t>
  </si>
  <si>
    <t>323 - Mercado Pago – Conta do Mercado Livre</t>
  </si>
  <si>
    <t>336 - Banco C6 S.A.</t>
  </si>
  <si>
    <t>341 - Itaú Unibanco S.A.</t>
  </si>
  <si>
    <t>349 - AL5 S.A. Crédito</t>
  </si>
  <si>
    <t>366 - Société Générale Brasil S.A.</t>
  </si>
  <si>
    <t>370 - Banco Mizuho do Brasil S.A.</t>
  </si>
  <si>
    <t>376 - Banco J.P. Morgan S.A.</t>
  </si>
  <si>
    <t>389 - Banco Mercantil do Brasil S.A.</t>
  </si>
  <si>
    <t>394 - Bradesco Financiamentos S.A.</t>
  </si>
  <si>
    <t>399 - Kirton Bank - Banco Múltiplo S.A.</t>
  </si>
  <si>
    <t>406 - Accredito - Sociedade de Crédito Direto S.A.</t>
  </si>
  <si>
    <t>412 - Banco Capital S.A.</t>
  </si>
  <si>
    <t>422 - Banco Safra S.A.</t>
  </si>
  <si>
    <t>453 - Banco Rural S.A.</t>
  </si>
  <si>
    <t>456 - Banco MUFG Brasil S.A.</t>
  </si>
  <si>
    <t>464 - Banco Sumitomo Mitsui Brasileiro S.A.</t>
  </si>
  <si>
    <t>473 - Banco Caixa Geral - Brasil S.A.</t>
  </si>
  <si>
    <t>477 - Citibank N.A.</t>
  </si>
  <si>
    <t>479 - Banco ItauBank S.A.</t>
  </si>
  <si>
    <t>487 - Deutsche Bank - Banco Alemão S.A.</t>
  </si>
  <si>
    <t>488 - JPMorgan Chase Bank, National Association</t>
  </si>
  <si>
    <t>492 - ING Bank N.V.</t>
  </si>
  <si>
    <t>495 - Banco de La Provincia de Buenos Aires</t>
  </si>
  <si>
    <t>505 - Banco UBS (Brasil) S.A.</t>
  </si>
  <si>
    <t>600 - Banco Luso Brasileiro S.A.</t>
  </si>
  <si>
    <t>604 - Banco Industrial do Brasil S.A.</t>
  </si>
  <si>
    <t>610 - Banco VR S.A.</t>
  </si>
  <si>
    <t>611 - Banco Paulista S.A.</t>
  </si>
  <si>
    <t>612 - Banco Guanabara S.A.</t>
  </si>
  <si>
    <t>613 - Omni Banco S.A.</t>
  </si>
  <si>
    <t>623 - Banco Pan S.A.</t>
  </si>
  <si>
    <t>626 - Banco Ficsa S.A.</t>
  </si>
  <si>
    <t>630 - Letsbank / Smartbank S.A.</t>
  </si>
  <si>
    <t>633 - Banco Rendimento S.A.</t>
  </si>
  <si>
    <t>634 - Banco Triângulo S.A.</t>
  </si>
  <si>
    <t>637 - Banco Sofisa S.A.</t>
  </si>
  <si>
    <t>638 - Banco Prosper S.A.</t>
  </si>
  <si>
    <t>641 - Banco Alvorada S.A.</t>
  </si>
  <si>
    <t>643 - Banco Pine S.A.</t>
  </si>
  <si>
    <t>652 - Itaú Unibanco Banco Múltiplo S.A.</t>
  </si>
  <si>
    <t>653 - Banco Indusval S.A.</t>
  </si>
  <si>
    <t>654 - Banco Digimais S.A.</t>
  </si>
  <si>
    <t>655 - Banco Votorantim S.A.</t>
  </si>
  <si>
    <t>707 - Banco Daycoval S.A.</t>
  </si>
  <si>
    <t>719 - Banif - Banco Internacional do Funchal (Brasil), S.A.</t>
  </si>
  <si>
    <t>721 - Banco Credibel S.A.</t>
  </si>
  <si>
    <t>734 - Banco Gerdau S.A.</t>
  </si>
  <si>
    <t>735 - Banco Pottencial S.A.</t>
  </si>
  <si>
    <t>738 - Banco Morada S.A.</t>
  </si>
  <si>
    <t>739 - Banco BGN S.A.</t>
  </si>
  <si>
    <t>740 - Banco Barclays S.A.</t>
  </si>
  <si>
    <t>741 - Banco Ribeirão Preto S.A.</t>
  </si>
  <si>
    <t>743 - Banco Semear S.A.</t>
  </si>
  <si>
    <t>745 - Banco Citibank S.A.</t>
  </si>
  <si>
    <t>746 - Banco Modal S.A.</t>
  </si>
  <si>
    <t>747 - Banco Rabobank International Brasil S.A.</t>
  </si>
  <si>
    <t>748 - Banco Cooperativo SICREDI S.A.</t>
  </si>
  <si>
    <t>749 - Banco Simples S.A.</t>
  </si>
  <si>
    <t>751 - Scotiabank Brasil S.A. Banco Múltiplo</t>
  </si>
  <si>
    <t>752 - Banco BNP Paribas Brasil S.A.</t>
  </si>
  <si>
    <t>753 - NBC Bank Brasil S. A. - Banco Múltiplo</t>
  </si>
  <si>
    <t>755 - Bank of America Merrill Lynch Banco Múltiplo S.A.</t>
  </si>
  <si>
    <t>756 - Sicoob - Sistema de Cooperativas de Crédito</t>
  </si>
  <si>
    <t>757 - Banco KEB Hana do Brasil S.A.</t>
  </si>
  <si>
    <t>fulano@teste.com</t>
  </si>
  <si>
    <t>bancao.pdf</t>
  </si>
  <si>
    <t>1° Banco</t>
  </si>
  <si>
    <t>2° Banco</t>
  </si>
  <si>
    <t>3° Banco</t>
  </si>
  <si>
    <t>TOTAL</t>
  </si>
  <si>
    <t>São todos os valores de entrada mês a mês de receita</t>
  </si>
  <si>
    <t>3. NOTAS BANCÁRIAS OU EXTRATO DE HOLERITES</t>
  </si>
  <si>
    <t>ENTRADAS</t>
  </si>
  <si>
    <t>DATA</t>
  </si>
  <si>
    <t>CATEGORIA</t>
  </si>
  <si>
    <t>VALOR</t>
  </si>
  <si>
    <t>HOLERITE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</si>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</sst>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R$&quot;\ #,##0.00"/>
    <numFmt numFmtId="167" formatCode="&quot;(&quot;00&quot;) &quot;0000&quot;-&quot;0000"/>
    <numFmt numFmtId="168" formatCode="&quot;(&quot;00&quot;) &quot;00000&quot;-&quot;0000"/>
    <numFmt numFmtId="169" formatCode="mmmm\-yyyy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Lucida Sans"/>
      <family val="2"/>
    </font>
    <font>
      <b/>
      <sz val="12"/>
      <color theme="1"/>
      <name val="Lucida Sans"/>
      <family val="2"/>
    </font>
    <font>
      <i/>
      <sz val="11"/>
      <color rgb="FF002060"/>
      <name val="Lucida Sans"/>
      <family val="2"/>
    </font>
    <font>
      <sz val="12"/>
      <color theme="0" tint="-4.9989318521683403E-2"/>
      <name val="Lucida Sans"/>
      <family val="2"/>
    </font>
    <font>
      <b/>
      <sz val="12"/>
      <color rgb="FF9C5700"/>
      <name val="Calibri"/>
      <family val="2"/>
      <scheme val="minor"/>
    </font>
    <font>
      <b/>
      <sz val="12"/>
      <color theme="3" tint="-0.249977111117893"/>
      <name val="Lucida Sans"/>
      <family val="2"/>
    </font>
    <font>
      <sz val="12"/>
      <color theme="3" tint="-0.249977111117893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31313"/>
        <bgColor indexed="64"/>
      </patternFill>
    </fill>
    <fill>
      <patternFill patternType="solid">
        <fgColor rgb="FF75AA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319D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</cellStyleXfs>
  <cellXfs count="25">
    <xf numFmtId="0" fontId="0" fillId="0" borderId="0" xfId="0"/>
    <xf numFmtId="0" fontId="5" fillId="0" borderId="0" xfId="0" applyFont="1"/>
    <xf numFmtId="0" fontId="5" fillId="3" borderId="0" xfId="0" applyFont="1" applyFill="1"/>
    <xf numFmtId="0" fontId="6" fillId="0" borderId="2" xfId="0" applyFont="1" applyBorder="1" applyAlignment="1">
      <alignment horizontal="right"/>
    </xf>
    <xf numFmtId="0" fontId="3" fillId="0" borderId="3" xfId="3" applyBorder="1" applyAlignment="1">
      <alignment horizontal="left" indent="1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4" fillId="2" borderId="2" xfId="4" applyBorder="1" applyAlignment="1" applyProtection="1">
      <alignment horizontal="left"/>
      <protection locked="0"/>
    </xf>
    <xf numFmtId="164" fontId="4" fillId="2" borderId="2" xfId="4" applyNumberFormat="1" applyBorder="1" applyAlignment="1" applyProtection="1">
      <alignment horizontal="left"/>
      <protection locked="0"/>
    </xf>
    <xf numFmtId="14" fontId="4" fillId="2" borderId="2" xfId="4" applyNumberFormat="1" applyBorder="1" applyAlignment="1" applyProtection="1">
      <alignment horizontal="left"/>
      <protection locked="0"/>
    </xf>
    <xf numFmtId="165" fontId="4" fillId="2" borderId="2" xfId="4" applyNumberFormat="1" applyBorder="1" applyAlignment="1" applyProtection="1">
      <alignment horizontal="left"/>
      <protection locked="0"/>
    </xf>
    <xf numFmtId="167" fontId="4" fillId="2" borderId="2" xfId="4" applyNumberFormat="1" applyBorder="1" applyAlignment="1" applyProtection="1">
      <alignment horizontal="left"/>
      <protection locked="0"/>
    </xf>
    <xf numFmtId="168" fontId="4" fillId="2" borderId="2" xfId="4" applyNumberFormat="1" applyBorder="1" applyAlignment="1" applyProtection="1">
      <alignment horizontal="left"/>
      <protection locked="0"/>
    </xf>
    <xf numFmtId="0" fontId="1" fillId="2" borderId="2" xfId="1" applyFill="1" applyBorder="1" applyAlignment="1" applyProtection="1">
      <alignment horizontal="left"/>
      <protection locked="0"/>
    </xf>
    <xf numFmtId="166" fontId="4" fillId="2" borderId="2" xfId="2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6" fontId="5" fillId="0" borderId="0" xfId="2" applyNumberFormat="1" applyFont="1" applyAlignment="1" applyProtection="1">
      <alignment horizontal="center"/>
      <protection locked="0"/>
    </xf>
    <xf numFmtId="0" fontId="7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center"/>
    </xf>
    <xf numFmtId="166" fontId="9" fillId="2" borderId="0" xfId="4" applyNumberFormat="1" applyFont="1" applyAlignment="1">
      <alignment horizontal="center"/>
    </xf>
    <xf numFmtId="0" fontId="9" fillId="2" borderId="0" xfId="4" applyFont="1" applyAlignment="1">
      <alignment horizontal="center"/>
    </xf>
    <xf numFmtId="0" fontId="5" fillId="0" borderId="0" xfId="0" applyFont="1"/>
  </cellXfs>
  <cellStyles count="5">
    <cellStyle name="Hiperlink" xfId="1" builtinId="8"/>
    <cellStyle name="Moeda" xfId="2" builtinId="4"/>
    <cellStyle name="Neutro" xfId="4" builtinId="28"/>
    <cellStyle name="Normal" xfId="0" builtinId="0"/>
    <cellStyle name="Título 1" xfId="3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family val="2"/>
        <scheme val="none"/>
      </font>
      <numFmt numFmtId="166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family val="2"/>
        <scheme val="none"/>
      </font>
      <numFmt numFmtId="169" formatCode="mmmm\-yyyy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colors>
    <mruColors>
      <color rgb="FF75AAFF"/>
      <color rgb="FF131313"/>
      <color rgb="FFF319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</a:t>
            </a:r>
            <a:r>
              <a:rPr lang="en-US" b="1" baseline="0">
                <a:solidFill>
                  <a:schemeClr val="tx1"/>
                </a:solidFill>
              </a:rPr>
              <a:t> por Categoria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NOTAS!$E$10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9E-40B2-A9B9-B7E0F4DDE7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16-4B73-BFA0-F83BC4A727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16-4B73-BFA0-F83BC4A727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16-4B73-BFA0-F83BC4A727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16-4B73-BFA0-F83BC4A727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16-4B73-BFA0-F83BC4A727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16-4B73-BFA0-F83BC4A727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116-4B73-BFA0-F83BC4A727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116-4B73-BFA0-F83BC4A72797}"/>
              </c:ext>
            </c:extLst>
          </c:dPt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9E-40B2-A9B9-B7E0F4DDE7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NOTAS!$D$11:$D$19</c:f>
              <c:strCache>
                <c:ptCount val="2"/>
                <c:pt idx="0">
                  <c:v>HOLERITE</c:v>
                </c:pt>
                <c:pt idx="1">
                  <c:v>CNPJ</c:v>
                </c:pt>
              </c:strCache>
            </c:strRef>
          </c:cat>
          <c:val>
            <c:numRef>
              <c:f>NOTAS!$E$11:$E$19</c:f>
              <c:numCache>
                <c:formatCode>"R$"\ #,##0.00</c:formatCode>
                <c:ptCount val="9"/>
                <c:pt idx="0">
                  <c:v>3500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E-40B2-A9B9-B7E0F4DDE7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Valor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NOTAS!$C$11:$C$19</c:f>
              <c:numCache>
                <c:formatCode>mmmm\-yyyy</c:formatCode>
                <c:ptCount val="9"/>
                <c:pt idx="0">
                  <c:v>46275</c:v>
                </c:pt>
                <c:pt idx="1">
                  <c:v>46315</c:v>
                </c:pt>
              </c:numCache>
            </c:numRef>
          </c:cat>
          <c:val>
            <c:numRef>
              <c:f>NOTAS!$E$11:$E$19</c:f>
              <c:numCache>
                <c:formatCode>"R$"\ #,##0.00</c:formatCode>
                <c:ptCount val="9"/>
                <c:pt idx="0">
                  <c:v>3500</c:v>
                </c:pt>
                <c:pt idx="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4F-400B-BE86-3F1F51115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8751200"/>
        <c:axId val="1154782352"/>
      </c:barChart>
      <c:dateAx>
        <c:axId val="1468751200"/>
        <c:scaling>
          <c:orientation val="minMax"/>
        </c:scaling>
        <c:delete val="0"/>
        <c:axPos val="l"/>
        <c:numFmt formatCode="m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4782352"/>
        <c:crosses val="autoZero"/>
        <c:auto val="1"/>
        <c:lblOffset val="100"/>
        <c:baseTimeUnit val="months"/>
      </c:dateAx>
      <c:valAx>
        <c:axId val="1154782352"/>
        <c:scaling>
          <c:orientation val="minMax"/>
        </c:scaling>
        <c:delete val="0"/>
        <c:axPos val="b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7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B1"/><Relationship Id="rId7" Type="http://schemas.openxmlformats.org/officeDocument/2006/relationships/hyperlink" Target="https://www.github.com/MauricioL88" TargetMode="External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uriciosl88" TargetMode="External"/><Relationship Id="rId4" Type="http://schemas.openxmlformats.org/officeDocument/2006/relationships/hyperlink" Target="#NOTAS!B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B1"/><Relationship Id="rId7" Type="http://schemas.openxmlformats.org/officeDocument/2006/relationships/hyperlink" Target="https://www.github.com/MauricioL88" TargetMode="External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uriciosl88" TargetMode="External"/><Relationship Id="rId4" Type="http://schemas.openxmlformats.org/officeDocument/2006/relationships/hyperlink" Target="#NOTAS!B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B1"/><Relationship Id="rId7" Type="http://schemas.openxmlformats.org/officeDocument/2006/relationships/hyperlink" Target="https://www.github.com/MauricioL88" TargetMode="External"/><Relationship Id="rId2" Type="http://schemas.openxmlformats.org/officeDocument/2006/relationships/hyperlink" Target="#TITULAR!B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mauriciosl88" TargetMode="External"/><Relationship Id="rId10" Type="http://schemas.openxmlformats.org/officeDocument/2006/relationships/chart" Target="../charts/chart2.xml"/><Relationship Id="rId4" Type="http://schemas.openxmlformats.org/officeDocument/2006/relationships/hyperlink" Target="#NOTAS!B1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560070</xdr:colOff>
      <xdr:row>3</xdr:row>
      <xdr:rowOff>7620</xdr:rowOff>
    </xdr:from>
    <xdr:to>
      <xdr:col>0</xdr:col>
      <xdr:colOff>1733550</xdr:colOff>
      <xdr:row>8</xdr:row>
      <xdr:rowOff>7620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47E5680-8F50-0BB4-7D40-F91161FA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" y="647700"/>
          <a:ext cx="11734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243840</xdr:colOff>
      <xdr:row>9</xdr:row>
      <xdr:rowOff>53340</xdr:rowOff>
    </xdr:from>
    <xdr:to>
      <xdr:col>0</xdr:col>
      <xdr:colOff>2049780</xdr:colOff>
      <xdr:row>12</xdr:row>
      <xdr:rowOff>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CD05E2-3FF4-8DE7-89D9-21515EB08D1F}"/>
            </a:ext>
          </a:extLst>
        </xdr:cNvPr>
        <xdr:cNvSpPr/>
      </xdr:nvSpPr>
      <xdr:spPr>
        <a:xfrm>
          <a:off x="243840" y="2065020"/>
          <a:ext cx="1805940" cy="54102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TITULAR</a:t>
          </a:r>
        </a:p>
      </xdr:txBody>
    </xdr:sp>
    <xdr:clientData/>
  </xdr:twoCellAnchor>
  <xdr:twoCellAnchor editAs="absolute">
    <xdr:from>
      <xdr:col>3</xdr:col>
      <xdr:colOff>7620</xdr:colOff>
      <xdr:row>20</xdr:row>
      <xdr:rowOff>0</xdr:rowOff>
    </xdr:from>
    <xdr:to>
      <xdr:col>4</xdr:col>
      <xdr:colOff>7620</xdr:colOff>
      <xdr:row>23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039776-15F7-4A15-A123-7AE903928318}"/>
            </a:ext>
          </a:extLst>
        </xdr:cNvPr>
        <xdr:cNvSpPr/>
      </xdr:nvSpPr>
      <xdr:spPr>
        <a:xfrm>
          <a:off x="7071360" y="4183380"/>
          <a:ext cx="4091940" cy="57150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Lucida Sans" panose="020B0602030504020204" pitchFamily="34" charset="0"/>
            </a:rPr>
            <a:t>PRÓXIMO</a:t>
          </a:r>
          <a:r>
            <a:rPr lang="pt-BR" sz="1600" baseline="0">
              <a:solidFill>
                <a:schemeClr val="bg1"/>
              </a:solidFill>
              <a:latin typeface="Lucida Sans" panose="020B0602030504020204" pitchFamily="34" charset="0"/>
            </a:rPr>
            <a:t> -&gt;</a:t>
          </a:r>
          <a:endParaRPr lang="pt-BR" sz="16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 editAs="absolute">
    <xdr:from>
      <xdr:col>0</xdr:col>
      <xdr:colOff>243840</xdr:colOff>
      <xdr:row>12</xdr:row>
      <xdr:rowOff>96051</xdr:rowOff>
    </xdr:from>
    <xdr:to>
      <xdr:col>0</xdr:col>
      <xdr:colOff>2049780</xdr:colOff>
      <xdr:row>15</xdr:row>
      <xdr:rowOff>42711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F721BB-92C1-4868-8BC3-4C268B830B95}"/>
            </a:ext>
          </a:extLst>
        </xdr:cNvPr>
        <xdr:cNvSpPr/>
      </xdr:nvSpPr>
      <xdr:spPr>
        <a:xfrm>
          <a:off x="243840" y="2702091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243840</xdr:colOff>
      <xdr:row>15</xdr:row>
      <xdr:rowOff>138762</xdr:rowOff>
    </xdr:from>
    <xdr:to>
      <xdr:col>0</xdr:col>
      <xdr:colOff>2049780</xdr:colOff>
      <xdr:row>18</xdr:row>
      <xdr:rowOff>85422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89F96F-9200-4E6B-A7E8-850BC6755857}"/>
            </a:ext>
          </a:extLst>
        </xdr:cNvPr>
        <xdr:cNvSpPr/>
      </xdr:nvSpPr>
      <xdr:spPr>
        <a:xfrm>
          <a:off x="243840" y="3339162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2293620</xdr:colOff>
      <xdr:row>2</xdr:row>
      <xdr:rowOff>160020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BF1A32A6-0997-4C92-BCE5-FE67B9DE7E5A}"/>
            </a:ext>
          </a:extLst>
        </xdr:cNvPr>
        <xdr:cNvSpPr/>
      </xdr:nvSpPr>
      <xdr:spPr>
        <a:xfrm>
          <a:off x="0" y="0"/>
          <a:ext cx="229362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INFORMA</a:t>
          </a:r>
          <a:r>
            <a:rPr lang="pt-BR" sz="2000" baseline="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 LEÃO</a:t>
          </a:r>
          <a:endParaRPr lang="pt-BR" sz="2000">
            <a:gradFill>
              <a:gsLst>
                <a:gs pos="0">
                  <a:schemeClr val="bg1">
                    <a:lumMod val="95000"/>
                  </a:schemeClr>
                </a:gs>
                <a:gs pos="31000">
                  <a:srgbClr val="F319D4"/>
                </a:gs>
                <a:gs pos="86000">
                  <a:srgbClr val="75AAFF"/>
                </a:gs>
              </a:gsLst>
              <a:lin ang="0" scaled="1"/>
            </a:gradFill>
            <a:latin typeface="Arial Rounded MT Bold" panose="020F0704030504030204" pitchFamily="34" charset="0"/>
          </a:endParaRPr>
        </a:p>
      </xdr:txBody>
    </xdr:sp>
    <xdr:clientData/>
  </xdr:twoCellAnchor>
  <xdr:twoCellAnchor editAs="absolute">
    <xdr:from>
      <xdr:col>0</xdr:col>
      <xdr:colOff>1027028</xdr:colOff>
      <xdr:row>22</xdr:row>
      <xdr:rowOff>64164</xdr:rowOff>
    </xdr:from>
    <xdr:to>
      <xdr:col>0</xdr:col>
      <xdr:colOff>1266592</xdr:colOff>
      <xdr:row>23</xdr:row>
      <xdr:rowOff>132548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02F16E-2513-9A58-2E92-03407C11D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028" y="4438044"/>
          <a:ext cx="239564" cy="258884"/>
        </a:xfrm>
        <a:prstGeom prst="rect">
          <a:avLst/>
        </a:prstGeom>
      </xdr:spPr>
    </xdr:pic>
    <xdr:clientData/>
  </xdr:twoCellAnchor>
  <xdr:twoCellAnchor editAs="absolute">
    <xdr:from>
      <xdr:col>0</xdr:col>
      <xdr:colOff>1015359</xdr:colOff>
      <xdr:row>24</xdr:row>
      <xdr:rowOff>38101</xdr:rowOff>
    </xdr:from>
    <xdr:to>
      <xdr:col>0</xdr:col>
      <xdr:colOff>1278261</xdr:colOff>
      <xdr:row>25</xdr:row>
      <xdr:rowOff>121921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A4BFE3-1D8D-AD3F-8899-10E91730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59" y="4792981"/>
          <a:ext cx="262902" cy="274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280035</xdr:colOff>
      <xdr:row>19</xdr:row>
      <xdr:rowOff>173853</xdr:rowOff>
    </xdr:from>
    <xdr:to>
      <xdr:col>0</xdr:col>
      <xdr:colOff>2013585</xdr:colOff>
      <xdr:row>21</xdr:row>
      <xdr:rowOff>158613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227F79DB-FE91-D3A5-23EB-F0B7BDE936B0}"/>
            </a:ext>
          </a:extLst>
        </xdr:cNvPr>
        <xdr:cNvSpPr/>
      </xdr:nvSpPr>
      <xdr:spPr>
        <a:xfrm>
          <a:off x="280035" y="3976233"/>
          <a:ext cx="1733550" cy="36576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000">
              <a:solidFill>
                <a:schemeClr val="bg1">
                  <a:lumMod val="95000"/>
                </a:schemeClr>
              </a:solidFill>
            </a:rPr>
            <a:t>Desenvolvido</a:t>
          </a:r>
          <a:r>
            <a:rPr lang="pt-BR" sz="1000" baseline="0">
              <a:solidFill>
                <a:schemeClr val="bg1">
                  <a:lumMod val="95000"/>
                </a:schemeClr>
              </a:solidFill>
            </a:rPr>
            <a:t> por MLisboa88</a:t>
          </a:r>
          <a:endParaRPr lang="pt-BR" sz="10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560070</xdr:colOff>
      <xdr:row>3</xdr:row>
      <xdr:rowOff>7620</xdr:rowOff>
    </xdr:from>
    <xdr:to>
      <xdr:col>0</xdr:col>
      <xdr:colOff>1733550</xdr:colOff>
      <xdr:row>8</xdr:row>
      <xdr:rowOff>22860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F1DFD35-C1EA-4726-9C8C-7F5D766DC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" y="647700"/>
          <a:ext cx="11734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243840</xdr:colOff>
      <xdr:row>9</xdr:row>
      <xdr:rowOff>68580</xdr:rowOff>
    </xdr:from>
    <xdr:to>
      <xdr:col>0</xdr:col>
      <xdr:colOff>2049780</xdr:colOff>
      <xdr:row>12</xdr:row>
      <xdr:rowOff>15240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0856134-226C-44D3-B032-89144FB1011F}"/>
            </a:ext>
          </a:extLst>
        </xdr:cNvPr>
        <xdr:cNvSpPr/>
      </xdr:nvSpPr>
      <xdr:spPr>
        <a:xfrm>
          <a:off x="243840" y="2065020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243840</xdr:colOff>
      <xdr:row>12</xdr:row>
      <xdr:rowOff>111291</xdr:rowOff>
    </xdr:from>
    <xdr:to>
      <xdr:col>0</xdr:col>
      <xdr:colOff>2049780</xdr:colOff>
      <xdr:row>15</xdr:row>
      <xdr:rowOff>80811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5C1D68-0E09-40AE-86DA-592BE314D1A2}"/>
            </a:ext>
          </a:extLst>
        </xdr:cNvPr>
        <xdr:cNvSpPr/>
      </xdr:nvSpPr>
      <xdr:spPr>
        <a:xfrm>
          <a:off x="243840" y="2702091"/>
          <a:ext cx="1805940" cy="54102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243840</xdr:colOff>
      <xdr:row>15</xdr:row>
      <xdr:rowOff>176862</xdr:rowOff>
    </xdr:from>
    <xdr:to>
      <xdr:col>0</xdr:col>
      <xdr:colOff>2049780</xdr:colOff>
      <xdr:row>18</xdr:row>
      <xdr:rowOff>123522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1BBAAD-77DE-4B71-9358-D64D77A21549}"/>
            </a:ext>
          </a:extLst>
        </xdr:cNvPr>
        <xdr:cNvSpPr/>
      </xdr:nvSpPr>
      <xdr:spPr>
        <a:xfrm>
          <a:off x="243840" y="3339162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2293620</xdr:colOff>
      <xdr:row>2</xdr:row>
      <xdr:rowOff>160020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3DE0431-D8C5-4803-BD00-ACFF613FF579}"/>
            </a:ext>
          </a:extLst>
        </xdr:cNvPr>
        <xdr:cNvSpPr/>
      </xdr:nvSpPr>
      <xdr:spPr>
        <a:xfrm>
          <a:off x="0" y="0"/>
          <a:ext cx="229362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INFORMA</a:t>
          </a:r>
          <a:r>
            <a:rPr lang="pt-BR" sz="2000" baseline="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 LEÃO</a:t>
          </a:r>
          <a:endParaRPr lang="pt-BR" sz="2000">
            <a:gradFill>
              <a:gsLst>
                <a:gs pos="0">
                  <a:schemeClr val="bg1">
                    <a:lumMod val="95000"/>
                  </a:schemeClr>
                </a:gs>
                <a:gs pos="31000">
                  <a:srgbClr val="F319D4"/>
                </a:gs>
                <a:gs pos="86000">
                  <a:srgbClr val="75AAFF"/>
                </a:gs>
              </a:gsLst>
              <a:lin ang="0" scaled="1"/>
            </a:gradFill>
            <a:latin typeface="Arial Rounded MT Bold" panose="020F0704030504030204" pitchFamily="34" charset="0"/>
          </a:endParaRPr>
        </a:p>
      </xdr:txBody>
    </xdr:sp>
    <xdr:clientData/>
  </xdr:twoCellAnchor>
  <xdr:twoCellAnchor editAs="absolute">
    <xdr:from>
      <xdr:col>0</xdr:col>
      <xdr:colOff>1027028</xdr:colOff>
      <xdr:row>22</xdr:row>
      <xdr:rowOff>102264</xdr:rowOff>
    </xdr:from>
    <xdr:to>
      <xdr:col>0</xdr:col>
      <xdr:colOff>1266592</xdr:colOff>
      <xdr:row>23</xdr:row>
      <xdr:rowOff>163028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FD2459-BADD-4F99-BE06-E85E3851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028" y="4628544"/>
          <a:ext cx="239564" cy="258884"/>
        </a:xfrm>
        <a:prstGeom prst="rect">
          <a:avLst/>
        </a:prstGeom>
      </xdr:spPr>
    </xdr:pic>
    <xdr:clientData/>
  </xdr:twoCellAnchor>
  <xdr:twoCellAnchor editAs="absolute">
    <xdr:from>
      <xdr:col>0</xdr:col>
      <xdr:colOff>1015359</xdr:colOff>
      <xdr:row>24</xdr:row>
      <xdr:rowOff>60961</xdr:rowOff>
    </xdr:from>
    <xdr:to>
      <xdr:col>0</xdr:col>
      <xdr:colOff>1278261</xdr:colOff>
      <xdr:row>25</xdr:row>
      <xdr:rowOff>144781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FB3DF3-3979-4100-9586-610C6F74C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59" y="4983481"/>
          <a:ext cx="262902" cy="274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280035</xdr:colOff>
      <xdr:row>20</xdr:row>
      <xdr:rowOff>29073</xdr:rowOff>
    </xdr:from>
    <xdr:to>
      <xdr:col>0</xdr:col>
      <xdr:colOff>2013585</xdr:colOff>
      <xdr:row>22</xdr:row>
      <xdr:rowOff>6213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F18B56B9-5B58-4CCC-BEE0-954849B68FF6}"/>
            </a:ext>
          </a:extLst>
        </xdr:cNvPr>
        <xdr:cNvSpPr/>
      </xdr:nvSpPr>
      <xdr:spPr>
        <a:xfrm>
          <a:off x="280035" y="4166733"/>
          <a:ext cx="1733550" cy="36576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000">
              <a:solidFill>
                <a:schemeClr val="bg1">
                  <a:lumMod val="95000"/>
                </a:schemeClr>
              </a:solidFill>
            </a:rPr>
            <a:t>Desenvolvido</a:t>
          </a:r>
          <a:r>
            <a:rPr lang="pt-BR" sz="1000" baseline="0">
              <a:solidFill>
                <a:schemeClr val="bg1">
                  <a:lumMod val="95000"/>
                </a:schemeClr>
              </a:solidFill>
            </a:rPr>
            <a:t> por MLisboa88</a:t>
          </a:r>
          <a:endParaRPr lang="pt-BR" sz="10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99060</xdr:colOff>
      <xdr:row>25</xdr:row>
      <xdr:rowOff>15240</xdr:rowOff>
    </xdr:from>
    <xdr:to>
      <xdr:col>4</xdr:col>
      <xdr:colOff>0</xdr:colOff>
      <xdr:row>28</xdr:row>
      <xdr:rowOff>15240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D734A7F-3E9F-42A5-BA46-A2F40B1D9B73}"/>
            </a:ext>
          </a:extLst>
        </xdr:cNvPr>
        <xdr:cNvSpPr/>
      </xdr:nvSpPr>
      <xdr:spPr>
        <a:xfrm>
          <a:off x="7162800" y="5128260"/>
          <a:ext cx="3992880" cy="57150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Lucida Sans" panose="020B0602030504020204" pitchFamily="34" charset="0"/>
            </a:rPr>
            <a:t>PRÓXIMO</a:t>
          </a:r>
          <a:r>
            <a:rPr lang="pt-BR" sz="1600" baseline="0">
              <a:solidFill>
                <a:schemeClr val="bg1"/>
              </a:solidFill>
              <a:latin typeface="Lucida Sans" panose="020B0602030504020204" pitchFamily="34" charset="0"/>
            </a:rPr>
            <a:t> -&gt;</a:t>
          </a:r>
          <a:endParaRPr lang="pt-BR" sz="1600">
            <a:solidFill>
              <a:schemeClr val="bg1"/>
            </a:solidFill>
            <a:latin typeface="Lucida Sans" panose="020B0602030504020204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25</xdr:row>
      <xdr:rowOff>15240</xdr:rowOff>
    </xdr:from>
    <xdr:to>
      <xdr:col>2</xdr:col>
      <xdr:colOff>4008120</xdr:colOff>
      <xdr:row>28</xdr:row>
      <xdr:rowOff>15240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9EE5C2-3FD1-49BD-8B75-4E247B069AFC}"/>
            </a:ext>
          </a:extLst>
        </xdr:cNvPr>
        <xdr:cNvSpPr/>
      </xdr:nvSpPr>
      <xdr:spPr>
        <a:xfrm>
          <a:off x="2971800" y="5128260"/>
          <a:ext cx="4008120" cy="57150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Lucida Sans" panose="020B0602030504020204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560070</xdr:colOff>
      <xdr:row>3</xdr:row>
      <xdr:rowOff>7620</xdr:rowOff>
    </xdr:from>
    <xdr:to>
      <xdr:col>0</xdr:col>
      <xdr:colOff>1733550</xdr:colOff>
      <xdr:row>8</xdr:row>
      <xdr:rowOff>22860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046BB5A-041E-4B66-AD65-77251E16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" y="647700"/>
          <a:ext cx="1173480" cy="1173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243840</xdr:colOff>
      <xdr:row>9</xdr:row>
      <xdr:rowOff>76200</xdr:rowOff>
    </xdr:from>
    <xdr:to>
      <xdr:col>0</xdr:col>
      <xdr:colOff>2049780</xdr:colOff>
      <xdr:row>12</xdr:row>
      <xdr:rowOff>45720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1C47B8-9E67-489A-A7A1-7C167F490C68}"/>
            </a:ext>
          </a:extLst>
        </xdr:cNvPr>
        <xdr:cNvSpPr/>
      </xdr:nvSpPr>
      <xdr:spPr>
        <a:xfrm>
          <a:off x="243840" y="2065020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243840</xdr:colOff>
      <xdr:row>12</xdr:row>
      <xdr:rowOff>141771</xdr:rowOff>
    </xdr:from>
    <xdr:to>
      <xdr:col>0</xdr:col>
      <xdr:colOff>2049780</xdr:colOff>
      <xdr:row>15</xdr:row>
      <xdr:rowOff>111291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45CB95A-3C9B-43D5-9E30-B8BB6AA865BF}"/>
            </a:ext>
          </a:extLst>
        </xdr:cNvPr>
        <xdr:cNvSpPr/>
      </xdr:nvSpPr>
      <xdr:spPr>
        <a:xfrm>
          <a:off x="243840" y="2702091"/>
          <a:ext cx="180594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>
              <a:latin typeface="Lucida Sans" panose="020B0602030504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243840</xdr:colOff>
      <xdr:row>16</xdr:row>
      <xdr:rowOff>16842</xdr:rowOff>
    </xdr:from>
    <xdr:to>
      <xdr:col>0</xdr:col>
      <xdr:colOff>2049780</xdr:colOff>
      <xdr:row>18</xdr:row>
      <xdr:rowOff>176862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087E89-2CA2-4794-990E-F5EB253F076C}"/>
            </a:ext>
          </a:extLst>
        </xdr:cNvPr>
        <xdr:cNvSpPr/>
      </xdr:nvSpPr>
      <xdr:spPr>
        <a:xfrm>
          <a:off x="243840" y="3339162"/>
          <a:ext cx="1805940" cy="54102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/>
            <a:t>NOTAS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2293620</xdr:colOff>
      <xdr:row>2</xdr:row>
      <xdr:rowOff>160020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2220F5A-0F08-40B1-8EC8-56E83E9EA259}"/>
            </a:ext>
          </a:extLst>
        </xdr:cNvPr>
        <xdr:cNvSpPr/>
      </xdr:nvSpPr>
      <xdr:spPr>
        <a:xfrm>
          <a:off x="0" y="0"/>
          <a:ext cx="2293620" cy="54102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200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INFORMA</a:t>
          </a:r>
          <a:r>
            <a:rPr lang="pt-BR" sz="2000" baseline="0">
              <a:gradFill>
                <a:gsLst>
                  <a:gs pos="0">
                    <a:schemeClr val="bg1">
                      <a:lumMod val="95000"/>
                    </a:schemeClr>
                  </a:gs>
                  <a:gs pos="31000">
                    <a:srgbClr val="F319D4"/>
                  </a:gs>
                  <a:gs pos="86000">
                    <a:srgbClr val="75AAFF"/>
                  </a:gs>
                </a:gsLst>
                <a:lin ang="0" scaled="1"/>
              </a:gradFill>
              <a:latin typeface="Arial Rounded MT Bold" panose="020F0704030504030204" pitchFamily="34" charset="0"/>
            </a:rPr>
            <a:t> LEÃO</a:t>
          </a:r>
          <a:endParaRPr lang="pt-BR" sz="2000">
            <a:gradFill>
              <a:gsLst>
                <a:gs pos="0">
                  <a:schemeClr val="bg1">
                    <a:lumMod val="95000"/>
                  </a:schemeClr>
                </a:gs>
                <a:gs pos="31000">
                  <a:srgbClr val="F319D4"/>
                </a:gs>
                <a:gs pos="86000">
                  <a:srgbClr val="75AAFF"/>
                </a:gs>
              </a:gsLst>
              <a:lin ang="0" scaled="1"/>
            </a:gradFill>
            <a:latin typeface="Arial Rounded MT Bold" panose="020F0704030504030204" pitchFamily="34" charset="0"/>
          </a:endParaRPr>
        </a:p>
      </xdr:txBody>
    </xdr:sp>
    <xdr:clientData/>
  </xdr:twoCellAnchor>
  <xdr:twoCellAnchor editAs="absolute">
    <xdr:from>
      <xdr:col>0</xdr:col>
      <xdr:colOff>1027028</xdr:colOff>
      <xdr:row>22</xdr:row>
      <xdr:rowOff>163224</xdr:rowOff>
    </xdr:from>
    <xdr:to>
      <xdr:col>0</xdr:col>
      <xdr:colOff>1266592</xdr:colOff>
      <xdr:row>24</xdr:row>
      <xdr:rowOff>41108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CA70283-79DA-4682-84E3-C246227D2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028" y="4628544"/>
          <a:ext cx="239564" cy="258884"/>
        </a:xfrm>
        <a:prstGeom prst="rect">
          <a:avLst/>
        </a:prstGeom>
      </xdr:spPr>
    </xdr:pic>
    <xdr:clientData/>
  </xdr:twoCellAnchor>
  <xdr:twoCellAnchor editAs="absolute">
    <xdr:from>
      <xdr:col>0</xdr:col>
      <xdr:colOff>1015359</xdr:colOff>
      <xdr:row>24</xdr:row>
      <xdr:rowOff>137161</xdr:rowOff>
    </xdr:from>
    <xdr:to>
      <xdr:col>0</xdr:col>
      <xdr:colOff>1278261</xdr:colOff>
      <xdr:row>26</xdr:row>
      <xdr:rowOff>30481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A0537B7-8D12-4297-87C5-3E79D37A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5359" y="4983481"/>
          <a:ext cx="262902" cy="274320"/>
        </a:xfrm>
        <a:prstGeom prst="rect">
          <a:avLst/>
        </a:prstGeom>
      </xdr:spPr>
    </xdr:pic>
    <xdr:clientData/>
  </xdr:twoCellAnchor>
  <xdr:twoCellAnchor editAs="absolute">
    <xdr:from>
      <xdr:col>0</xdr:col>
      <xdr:colOff>280035</xdr:colOff>
      <xdr:row>20</xdr:row>
      <xdr:rowOff>82413</xdr:rowOff>
    </xdr:from>
    <xdr:to>
      <xdr:col>0</xdr:col>
      <xdr:colOff>2013585</xdr:colOff>
      <xdr:row>22</xdr:row>
      <xdr:rowOff>67173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BC6E461F-5B78-4F62-8519-1A18F5AF2A27}"/>
            </a:ext>
          </a:extLst>
        </xdr:cNvPr>
        <xdr:cNvSpPr/>
      </xdr:nvSpPr>
      <xdr:spPr>
        <a:xfrm>
          <a:off x="280035" y="4166733"/>
          <a:ext cx="1733550" cy="365760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r>
            <a:rPr lang="pt-BR" sz="1000">
              <a:solidFill>
                <a:schemeClr val="bg1">
                  <a:lumMod val="95000"/>
                </a:schemeClr>
              </a:solidFill>
            </a:rPr>
            <a:t>Desenvolvido</a:t>
          </a:r>
          <a:r>
            <a:rPr lang="pt-BR" sz="1000" baseline="0">
              <a:solidFill>
                <a:schemeClr val="bg1">
                  <a:lumMod val="95000"/>
                </a:schemeClr>
              </a:solidFill>
            </a:rPr>
            <a:t> por MLisboa88</a:t>
          </a:r>
          <a:endParaRPr lang="pt-BR" sz="10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0</xdr:colOff>
      <xdr:row>5</xdr:row>
      <xdr:rowOff>7620</xdr:rowOff>
    </xdr:from>
    <xdr:to>
      <xdr:col>4</xdr:col>
      <xdr:colOff>7620</xdr:colOff>
      <xdr:row>7</xdr:row>
      <xdr:rowOff>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B10DE8-B355-4176-91CF-CFEA9FB47DAB}"/>
            </a:ext>
          </a:extLst>
        </xdr:cNvPr>
        <xdr:cNvSpPr/>
      </xdr:nvSpPr>
      <xdr:spPr>
        <a:xfrm>
          <a:off x="2971800" y="1226820"/>
          <a:ext cx="3162300" cy="373380"/>
        </a:xfrm>
        <a:prstGeom prst="roundRect">
          <a:avLst/>
        </a:prstGeom>
        <a:gradFill flip="none" rotWithShape="1">
          <a:gsLst>
            <a:gs pos="6000">
              <a:srgbClr val="F319D4"/>
            </a:gs>
            <a:gs pos="95000">
              <a:srgbClr val="75AAFF"/>
            </a:gs>
          </a:gsLst>
          <a:lin ang="0" scaled="1"/>
          <a:tileRect/>
        </a:gradFill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/>
            <a:t>&lt;-</a:t>
          </a:r>
          <a:r>
            <a:rPr lang="pt-BR" sz="1400" baseline="0"/>
            <a:t> ANTERIOR</a:t>
          </a:r>
          <a:endParaRPr lang="pt-BR" sz="1400"/>
        </a:p>
      </xdr:txBody>
    </xdr:sp>
    <xdr:clientData/>
  </xdr:twoCellAnchor>
  <xdr:twoCellAnchor>
    <xdr:from>
      <xdr:col>5</xdr:col>
      <xdr:colOff>504435</xdr:colOff>
      <xdr:row>0</xdr:row>
      <xdr:rowOff>0</xdr:rowOff>
    </xdr:from>
    <xdr:to>
      <xdr:col>14</xdr:col>
      <xdr:colOff>547125</xdr:colOff>
      <xdr:row>17</xdr:row>
      <xdr:rowOff>38100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5077C48-C090-6B70-5673-2CAED136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5</xdr:col>
      <xdr:colOff>446550</xdr:colOff>
      <xdr:row>18</xdr:row>
      <xdr:rowOff>19050</xdr:rowOff>
    </xdr:from>
    <xdr:to>
      <xdr:col>14</xdr:col>
      <xdr:colOff>605011</xdr:colOff>
      <xdr:row>34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0589B6-9638-2911-6F00-A18177061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DF1FA-63AB-41C2-9047-09493F24285A}" name="Tabela1" displayName="Tabela1" ref="C10:E19" totalsRowShown="0" headerRowDxfId="4" dataDxfId="3">
  <autoFilter ref="C10:E19" xr:uid="{6E4DF1FA-63AB-41C2-9047-09493F24285A}"/>
  <tableColumns count="3">
    <tableColumn id="1" xr3:uid="{6891E330-1410-4AD4-AC3B-4AB7A70436F2}" name="DATA" dataDxfId="2"/>
    <tableColumn id="2" xr3:uid="{5A7FBC42-7445-4E6D-AD6B-4298323C3ED2}" name="CATEGORIA" dataDxfId="1"/>
    <tableColumn id="3" xr3:uid="{258DB608-D6C6-4307-A36B-F01F0799385A}" name="VALOR" dataDxfId="0" dataCellStyle="Moeda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ulano@tes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9"/>
  <sheetViews>
    <sheetView showGridLines="0" showRowColHeaders="0" tabSelected="1" zoomScaleNormal="100" workbookViewId="0">
      <selection activeCell="D6" sqref="D6"/>
    </sheetView>
  </sheetViews>
  <sheetFormatPr defaultRowHeight="15" x14ac:dyDescent="0.25"/>
  <cols>
    <col min="1" max="1" width="30.19921875" style="2" customWidth="1"/>
    <col min="2" max="2" width="8.796875" style="1"/>
    <col min="3" max="4" width="53.69921875" style="1" customWidth="1"/>
    <col min="5" max="16384" width="8.796875" style="1"/>
  </cols>
  <sheetData>
    <row r="3" spans="3:6" ht="20.399999999999999" thickBot="1" x14ac:dyDescent="0.45">
      <c r="C3" s="4" t="s">
        <v>0</v>
      </c>
      <c r="D3" s="4"/>
      <c r="E3" s="4"/>
    </row>
    <row r="4" spans="3:6" ht="30.6" customHeight="1" thickTop="1" x14ac:dyDescent="0.25">
      <c r="C4" s="20" t="s">
        <v>1</v>
      </c>
      <c r="D4" s="20"/>
      <c r="E4" s="20"/>
    </row>
    <row r="6" spans="3:6" ht="15.6" x14ac:dyDescent="0.3">
      <c r="C6" s="3" t="s">
        <v>2</v>
      </c>
      <c r="D6" s="9" t="s">
        <v>3</v>
      </c>
    </row>
    <row r="7" spans="3:6" ht="15.6" x14ac:dyDescent="0.3">
      <c r="C7" s="3" t="s">
        <v>4</v>
      </c>
      <c r="D7" s="10">
        <v>34562134550</v>
      </c>
    </row>
    <row r="8" spans="3:6" ht="15.6" x14ac:dyDescent="0.3">
      <c r="C8" s="3" t="s">
        <v>5</v>
      </c>
      <c r="D8" s="11">
        <v>32903</v>
      </c>
      <c r="F8"/>
    </row>
    <row r="9" spans="3:6" ht="15.6" x14ac:dyDescent="0.3">
      <c r="C9" s="3" t="s">
        <v>6</v>
      </c>
      <c r="D9" s="9">
        <v>55426700</v>
      </c>
    </row>
    <row r="10" spans="3:6" ht="15.6" x14ac:dyDescent="0.3">
      <c r="C10" s="3" t="s">
        <v>7</v>
      </c>
      <c r="D10" s="9" t="s">
        <v>8</v>
      </c>
    </row>
    <row r="11" spans="3:6" ht="15.6" x14ac:dyDescent="0.3">
      <c r="C11" s="3" t="s">
        <v>9</v>
      </c>
      <c r="D11" s="9" t="s">
        <v>10</v>
      </c>
    </row>
    <row r="12" spans="3:6" ht="15.6" x14ac:dyDescent="0.3">
      <c r="C12" s="3" t="s">
        <v>11</v>
      </c>
      <c r="D12" s="9" t="s">
        <v>12</v>
      </c>
    </row>
    <row r="13" spans="3:6" ht="15.6" x14ac:dyDescent="0.3">
      <c r="C13" s="3" t="s">
        <v>13</v>
      </c>
      <c r="D13" s="12">
        <v>40000000</v>
      </c>
    </row>
    <row r="14" spans="3:6" ht="15.6" x14ac:dyDescent="0.3">
      <c r="C14" s="3" t="s">
        <v>14</v>
      </c>
      <c r="D14" s="13">
        <v>7132339999</v>
      </c>
    </row>
    <row r="15" spans="3:6" ht="15.6" x14ac:dyDescent="0.3">
      <c r="C15" s="3" t="s">
        <v>15</v>
      </c>
      <c r="D15" s="14">
        <v>71999999999</v>
      </c>
    </row>
    <row r="16" spans="3:6" ht="15.6" x14ac:dyDescent="0.3">
      <c r="C16" s="3" t="s">
        <v>16</v>
      </c>
      <c r="D16" s="15" t="s">
        <v>179</v>
      </c>
    </row>
    <row r="17" spans="3:4" ht="15.6" x14ac:dyDescent="0.3">
      <c r="C17" s="3" t="s">
        <v>17</v>
      </c>
      <c r="D17" s="9" t="s">
        <v>18</v>
      </c>
    </row>
    <row r="18" spans="3:4" ht="15.6" x14ac:dyDescent="0.3">
      <c r="C18" s="3" t="s">
        <v>19</v>
      </c>
      <c r="D18" s="9" t="s">
        <v>20</v>
      </c>
    </row>
    <row r="19" spans="3:4" ht="15.6" x14ac:dyDescent="0.3">
      <c r="C19" s="3" t="s">
        <v>21</v>
      </c>
      <c r="D19" s="9" t="s">
        <v>20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06A73EA-59D3-474E-AF3E-CBD376C90E11}">
      <formula1>"SIM,NÃO"</formula1>
    </dataValidation>
  </dataValidations>
  <hyperlinks>
    <hyperlink ref="D16" r:id="rId1" xr:uid="{00000000-0004-0000-0000-000000000000}"/>
  </hyperlinks>
  <pageMargins left="0.511811024" right="0.511811024" top="0.78740157499999996" bottom="0.78740157499999996" header="0.31496062000000002" footer="0.31496062000000002"/>
  <ignoredErrors>
    <ignoredError sqref="A1:E15 A17:C19 E17:E19 A16:C16 E16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1CFA-C61A-4AEB-B920-E2A7FCC93B44}">
  <dimension ref="A3:F24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30.19921875" style="2" customWidth="1"/>
    <col min="2" max="2" width="8.796875" style="1"/>
    <col min="3" max="4" width="53.69921875" style="1" customWidth="1"/>
    <col min="5" max="16384" width="8.796875" style="1"/>
  </cols>
  <sheetData>
    <row r="3" spans="3:6" ht="20.399999999999999" thickBot="1" x14ac:dyDescent="0.45">
      <c r="C3" s="4" t="s">
        <v>22</v>
      </c>
      <c r="D3" s="4"/>
      <c r="E3" s="4"/>
    </row>
    <row r="4" spans="3:6" ht="30.6" customHeight="1" thickTop="1" x14ac:dyDescent="0.25">
      <c r="C4" s="20" t="s">
        <v>23</v>
      </c>
      <c r="D4" s="20"/>
      <c r="E4" s="20"/>
    </row>
    <row r="5" spans="3:6" ht="15" customHeight="1" x14ac:dyDescent="0.25"/>
    <row r="6" spans="3:6" x14ac:dyDescent="0.25">
      <c r="C6" s="7" t="s">
        <v>184</v>
      </c>
    </row>
    <row r="7" spans="3:6" ht="15.6" x14ac:dyDescent="0.3">
      <c r="C7" s="22">
        <f>SUM(D11,D17,D23)</f>
        <v>1751500</v>
      </c>
      <c r="D7" s="23"/>
    </row>
    <row r="9" spans="3:6" ht="15.6" x14ac:dyDescent="0.3">
      <c r="C9" s="8" t="s">
        <v>181</v>
      </c>
      <c r="F9"/>
    </row>
    <row r="10" spans="3:6" ht="15.6" x14ac:dyDescent="0.3">
      <c r="C10" s="3" t="s">
        <v>24</v>
      </c>
      <c r="D10" s="9" t="s">
        <v>171</v>
      </c>
    </row>
    <row r="11" spans="3:6" ht="15.6" x14ac:dyDescent="0.3">
      <c r="C11" s="3" t="s">
        <v>26</v>
      </c>
      <c r="D11" s="16">
        <v>1725000</v>
      </c>
    </row>
    <row r="12" spans="3:6" ht="15.6" x14ac:dyDescent="0.3">
      <c r="C12" s="3" t="s">
        <v>27</v>
      </c>
      <c r="D12" s="11" t="s">
        <v>180</v>
      </c>
    </row>
    <row r="15" spans="3:6" x14ac:dyDescent="0.25">
      <c r="C15" s="8" t="s">
        <v>182</v>
      </c>
    </row>
    <row r="16" spans="3:6" ht="15.6" x14ac:dyDescent="0.3">
      <c r="C16" s="3" t="s">
        <v>24</v>
      </c>
      <c r="D16" s="9" t="s">
        <v>95</v>
      </c>
    </row>
    <row r="17" spans="3:4" ht="15.6" x14ac:dyDescent="0.3">
      <c r="C17" s="3" t="s">
        <v>26</v>
      </c>
      <c r="D17" s="16">
        <v>1500</v>
      </c>
    </row>
    <row r="18" spans="3:4" ht="15.6" x14ac:dyDescent="0.3">
      <c r="C18" s="3" t="s">
        <v>27</v>
      </c>
      <c r="D18" s="11" t="s">
        <v>180</v>
      </c>
    </row>
    <row r="21" spans="3:4" x14ac:dyDescent="0.25">
      <c r="C21" s="8" t="s">
        <v>183</v>
      </c>
    </row>
    <row r="22" spans="3:4" ht="15.6" x14ac:dyDescent="0.3">
      <c r="C22" s="3" t="s">
        <v>24</v>
      </c>
      <c r="D22" s="9" t="s">
        <v>41</v>
      </c>
    </row>
    <row r="23" spans="3:4" ht="15.6" x14ac:dyDescent="0.3">
      <c r="C23" s="3" t="s">
        <v>26</v>
      </c>
      <c r="D23" s="16">
        <v>25000</v>
      </c>
    </row>
    <row r="24" spans="3:4" ht="15.6" x14ac:dyDescent="0.3">
      <c r="C24" s="3" t="s">
        <v>27</v>
      </c>
      <c r="D24" s="11" t="s">
        <v>180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!" promptTitle="Informe um banco" prompt="Informe um banco vinculado com o seu CPF" xr:uid="{57012B7B-3C46-4E36-8ECE-19444F115B57}">
          <x14:formula1>
            <xm:f>TABELA!A$2:A$150</xm:f>
          </x14:formula1>
          <xm:sqref>D10 D22 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9CCF-E338-47BD-8B76-7630ED73E979}">
  <dimension ref="A3:F19"/>
  <sheetViews>
    <sheetView showGridLines="0" showRowColHeaders="0" workbookViewId="0">
      <selection activeCell="C11" sqref="C11"/>
    </sheetView>
  </sheetViews>
  <sheetFormatPr defaultRowHeight="15" x14ac:dyDescent="0.25"/>
  <cols>
    <col min="1" max="1" width="30.19921875" style="2" customWidth="1"/>
    <col min="2" max="2" width="8.796875" style="1"/>
    <col min="3" max="5" width="20.69921875" style="1" customWidth="1"/>
    <col min="6" max="16384" width="8.796875" style="1"/>
  </cols>
  <sheetData>
    <row r="3" spans="3:6" ht="20.399999999999999" thickBot="1" x14ac:dyDescent="0.45">
      <c r="C3" s="4" t="s">
        <v>186</v>
      </c>
      <c r="D3" s="4"/>
      <c r="E3" s="4"/>
    </row>
    <row r="4" spans="3:6" ht="30.6" customHeight="1" thickTop="1" x14ac:dyDescent="0.25">
      <c r="C4" s="20" t="s">
        <v>185</v>
      </c>
      <c r="D4" s="20"/>
      <c r="E4" s="20"/>
    </row>
    <row r="8" spans="3:6" ht="15.6" x14ac:dyDescent="0.3">
      <c r="F8"/>
    </row>
    <row r="9" spans="3:6" x14ac:dyDescent="0.25">
      <c r="C9" s="21" t="s">
        <v>187</v>
      </c>
      <c r="D9" s="21"/>
      <c r="E9" s="21"/>
    </row>
    <row r="10" spans="3:6" x14ac:dyDescent="0.25">
      <c r="C10" s="6" t="s">
        <v>188</v>
      </c>
      <c r="D10" s="6" t="s">
        <v>189</v>
      </c>
      <c r="E10" s="6" t="s">
        <v>190</v>
      </c>
    </row>
    <row r="11" spans="3:6" x14ac:dyDescent="0.25">
      <c r="C11" s="17">
        <v>46275</v>
      </c>
      <c r="D11" s="18" t="s">
        <v>191</v>
      </c>
      <c r="E11" s="19">
        <v>3500</v>
      </c>
    </row>
    <row r="12" spans="3:6" x14ac:dyDescent="0.25">
      <c r="C12" s="17">
        <v>46315</v>
      </c>
      <c r="D12" s="18" t="s">
        <v>192</v>
      </c>
      <c r="E12" s="19">
        <v>10000</v>
      </c>
    </row>
    <row r="13" spans="3:6" x14ac:dyDescent="0.25">
      <c r="C13" s="17"/>
      <c r="D13" s="18"/>
      <c r="E13" s="19"/>
    </row>
    <row r="14" spans="3:6" x14ac:dyDescent="0.25">
      <c r="C14" s="17"/>
      <c r="D14" s="18"/>
      <c r="E14" s="19"/>
    </row>
    <row r="15" spans="3:6" x14ac:dyDescent="0.25">
      <c r="C15" s="17"/>
      <c r="D15" s="18"/>
      <c r="E15" s="19"/>
    </row>
    <row r="16" spans="3:6" x14ac:dyDescent="0.25">
      <c r="C16" s="17"/>
      <c r="D16" s="18"/>
      <c r="E16" s="19"/>
    </row>
    <row r="17" spans="3:5" x14ac:dyDescent="0.25">
      <c r="C17" s="17"/>
      <c r="D17" s="18"/>
      <c r="E17" s="19"/>
    </row>
    <row r="18" spans="3:5" x14ac:dyDescent="0.25">
      <c r="C18" s="17"/>
      <c r="D18" s="18"/>
      <c r="E18" s="19"/>
    </row>
    <row r="19" spans="3:5" x14ac:dyDescent="0.25">
      <c r="C19" s="17"/>
      <c r="D19" s="18"/>
      <c r="E19" s="19"/>
    </row>
  </sheetData>
  <sheetProtection sheet="1" selectLockedCells="1"/>
  <mergeCells count="2">
    <mergeCell ref="C4:E4"/>
    <mergeCell ref="C9:E9"/>
  </mergeCells>
  <dataValidations count="1">
    <dataValidation type="list" allowBlank="1" showInputMessage="1" showErrorMessage="1" sqref="D11:D19" xr:uid="{F886AA30-64EE-4DCA-92DE-E736A6F28FD1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0"/>
  <sheetViews>
    <sheetView topLeftCell="A125" workbookViewId="0">
      <selection activeCell="F7" sqref="F7:F9"/>
    </sheetView>
  </sheetViews>
  <sheetFormatPr defaultRowHeight="15" x14ac:dyDescent="0.25"/>
  <cols>
    <col min="1" max="1" width="71.296875" style="1" bestFit="1" customWidth="1"/>
    <col min="2" max="16384" width="8.796875" style="1"/>
  </cols>
  <sheetData>
    <row r="1" spans="1:7" x14ac:dyDescent="0.25">
      <c r="A1" s="5" t="s">
        <v>29</v>
      </c>
    </row>
    <row r="2" spans="1:7" x14ac:dyDescent="0.25">
      <c r="A2" s="1" t="s">
        <v>30</v>
      </c>
    </row>
    <row r="3" spans="1:7" x14ac:dyDescent="0.25">
      <c r="A3" s="1" t="s">
        <v>31</v>
      </c>
    </row>
    <row r="4" spans="1:7" x14ac:dyDescent="0.25">
      <c r="A4" s="1" t="s">
        <v>32</v>
      </c>
      <c r="E4" s="1" t="s">
        <v>22</v>
      </c>
    </row>
    <row r="5" spans="1:7" x14ac:dyDescent="0.25">
      <c r="A5" s="1" t="s">
        <v>33</v>
      </c>
      <c r="E5" s="24" t="s">
        <v>23</v>
      </c>
      <c r="F5" s="24"/>
      <c r="G5" s="24"/>
    </row>
    <row r="6" spans="1:7" x14ac:dyDescent="0.25">
      <c r="A6" s="1" t="s">
        <v>34</v>
      </c>
    </row>
    <row r="7" spans="1:7" x14ac:dyDescent="0.25">
      <c r="A7" s="1" t="s">
        <v>35</v>
      </c>
      <c r="E7" s="1" t="s">
        <v>24</v>
      </c>
      <c r="F7" s="1" t="s">
        <v>25</v>
      </c>
    </row>
    <row r="8" spans="1:7" x14ac:dyDescent="0.25">
      <c r="A8" s="1" t="s">
        <v>36</v>
      </c>
      <c r="E8" s="1" t="s">
        <v>26</v>
      </c>
      <c r="F8" s="1">
        <v>1725000</v>
      </c>
    </row>
    <row r="9" spans="1:7" x14ac:dyDescent="0.25">
      <c r="A9" s="1" t="s">
        <v>37</v>
      </c>
      <c r="E9" s="1" t="s">
        <v>27</v>
      </c>
      <c r="F9" s="1" t="s">
        <v>28</v>
      </c>
    </row>
    <row r="10" spans="1:7" x14ac:dyDescent="0.25">
      <c r="A10" s="1" t="s">
        <v>38</v>
      </c>
    </row>
    <row r="11" spans="1:7" x14ac:dyDescent="0.25">
      <c r="A11" s="1" t="s">
        <v>39</v>
      </c>
    </row>
    <row r="12" spans="1:7" x14ac:dyDescent="0.25">
      <c r="A12" s="1" t="s">
        <v>40</v>
      </c>
    </row>
    <row r="13" spans="1:7" x14ac:dyDescent="0.25">
      <c r="A13" s="1" t="s">
        <v>41</v>
      </c>
    </row>
    <row r="14" spans="1:7" x14ac:dyDescent="0.25">
      <c r="A14" s="1" t="s">
        <v>42</v>
      </c>
    </row>
    <row r="15" spans="1:7" x14ac:dyDescent="0.25">
      <c r="A15" s="1" t="s">
        <v>43</v>
      </c>
    </row>
    <row r="16" spans="1:7" x14ac:dyDescent="0.25">
      <c r="A16" s="1" t="s">
        <v>44</v>
      </c>
    </row>
    <row r="17" spans="1:1" x14ac:dyDescent="0.25">
      <c r="A17" s="1" t="s">
        <v>45</v>
      </c>
    </row>
    <row r="18" spans="1:1" x14ac:dyDescent="0.25">
      <c r="A18" s="1" t="s">
        <v>46</v>
      </c>
    </row>
    <row r="19" spans="1:1" x14ac:dyDescent="0.25">
      <c r="A19" s="1" t="s">
        <v>47</v>
      </c>
    </row>
    <row r="20" spans="1:1" x14ac:dyDescent="0.25">
      <c r="A20" s="1" t="s">
        <v>48</v>
      </c>
    </row>
    <row r="21" spans="1:1" x14ac:dyDescent="0.25">
      <c r="A21" s="1" t="s">
        <v>49</v>
      </c>
    </row>
    <row r="22" spans="1:1" x14ac:dyDescent="0.25">
      <c r="A22" s="1" t="s">
        <v>50</v>
      </c>
    </row>
    <row r="23" spans="1:1" x14ac:dyDescent="0.25">
      <c r="A23" s="1" t="s">
        <v>51</v>
      </c>
    </row>
    <row r="24" spans="1:1" x14ac:dyDescent="0.25">
      <c r="A24" s="1" t="s">
        <v>52</v>
      </c>
    </row>
    <row r="25" spans="1:1" x14ac:dyDescent="0.25">
      <c r="A25" s="1" t="s">
        <v>53</v>
      </c>
    </row>
    <row r="26" spans="1:1" x14ac:dyDescent="0.25">
      <c r="A26" s="1" t="s">
        <v>54</v>
      </c>
    </row>
    <row r="27" spans="1:1" x14ac:dyDescent="0.25">
      <c r="A27" s="1" t="s">
        <v>55</v>
      </c>
    </row>
    <row r="28" spans="1:1" x14ac:dyDescent="0.25">
      <c r="A28" s="1" t="s">
        <v>56</v>
      </c>
    </row>
    <row r="29" spans="1:1" x14ac:dyDescent="0.25">
      <c r="A29" s="1" t="s">
        <v>57</v>
      </c>
    </row>
    <row r="30" spans="1:1" x14ac:dyDescent="0.25">
      <c r="A30" s="1" t="s">
        <v>58</v>
      </c>
    </row>
    <row r="31" spans="1:1" x14ac:dyDescent="0.25">
      <c r="A31" s="1" t="s">
        <v>59</v>
      </c>
    </row>
    <row r="32" spans="1:1" x14ac:dyDescent="0.25">
      <c r="A32" s="1" t="s">
        <v>60</v>
      </c>
    </row>
    <row r="33" spans="1:1" x14ac:dyDescent="0.25">
      <c r="A33" s="1" t="s">
        <v>61</v>
      </c>
    </row>
    <row r="34" spans="1:1" x14ac:dyDescent="0.25">
      <c r="A34" s="1" t="s">
        <v>62</v>
      </c>
    </row>
    <row r="35" spans="1:1" x14ac:dyDescent="0.25">
      <c r="A35" s="1" t="s">
        <v>63</v>
      </c>
    </row>
    <row r="36" spans="1:1" x14ac:dyDescent="0.25">
      <c r="A36" s="1" t="s">
        <v>64</v>
      </c>
    </row>
    <row r="37" spans="1:1" x14ac:dyDescent="0.25">
      <c r="A37" s="1" t="s">
        <v>65</v>
      </c>
    </row>
    <row r="38" spans="1:1" x14ac:dyDescent="0.25">
      <c r="A38" s="1" t="s">
        <v>66</v>
      </c>
    </row>
    <row r="39" spans="1:1" x14ac:dyDescent="0.25">
      <c r="A39" s="1" t="s">
        <v>67</v>
      </c>
    </row>
    <row r="40" spans="1:1" x14ac:dyDescent="0.25">
      <c r="A40" s="1" t="s">
        <v>68</v>
      </c>
    </row>
    <row r="41" spans="1:1" x14ac:dyDescent="0.25">
      <c r="A41" s="1" t="s">
        <v>69</v>
      </c>
    </row>
    <row r="42" spans="1:1" x14ac:dyDescent="0.25">
      <c r="A42" s="1" t="s">
        <v>70</v>
      </c>
    </row>
    <row r="43" spans="1:1" x14ac:dyDescent="0.25">
      <c r="A43" s="1" t="s">
        <v>71</v>
      </c>
    </row>
    <row r="44" spans="1:1" x14ac:dyDescent="0.25">
      <c r="A44" s="1" t="s">
        <v>72</v>
      </c>
    </row>
    <row r="45" spans="1:1" x14ac:dyDescent="0.25">
      <c r="A45" s="1" t="s">
        <v>73</v>
      </c>
    </row>
    <row r="46" spans="1:1" x14ac:dyDescent="0.25">
      <c r="A46" s="1" t="s">
        <v>74</v>
      </c>
    </row>
    <row r="47" spans="1:1" x14ac:dyDescent="0.25">
      <c r="A47" s="1" t="s">
        <v>75</v>
      </c>
    </row>
    <row r="48" spans="1:1" x14ac:dyDescent="0.25">
      <c r="A48" s="1" t="s">
        <v>76</v>
      </c>
    </row>
    <row r="49" spans="1:1" x14ac:dyDescent="0.25">
      <c r="A49" s="1" t="s">
        <v>77</v>
      </c>
    </row>
    <row r="50" spans="1:1" x14ac:dyDescent="0.25">
      <c r="A50" s="1" t="s">
        <v>78</v>
      </c>
    </row>
    <row r="51" spans="1:1" x14ac:dyDescent="0.25">
      <c r="A51" s="1" t="s">
        <v>79</v>
      </c>
    </row>
    <row r="52" spans="1:1" x14ac:dyDescent="0.25">
      <c r="A52" s="1" t="s">
        <v>80</v>
      </c>
    </row>
    <row r="53" spans="1:1" x14ac:dyDescent="0.25">
      <c r="A53" s="1" t="s">
        <v>81</v>
      </c>
    </row>
    <row r="54" spans="1:1" x14ac:dyDescent="0.25">
      <c r="A54" s="1" t="s">
        <v>82</v>
      </c>
    </row>
    <row r="55" spans="1:1" x14ac:dyDescent="0.25">
      <c r="A55" s="1" t="s">
        <v>83</v>
      </c>
    </row>
    <row r="56" spans="1:1" x14ac:dyDescent="0.25">
      <c r="A56" s="1" t="s">
        <v>84</v>
      </c>
    </row>
    <row r="57" spans="1:1" x14ac:dyDescent="0.25">
      <c r="A57" s="1" t="s">
        <v>85</v>
      </c>
    </row>
    <row r="58" spans="1:1" x14ac:dyDescent="0.25">
      <c r="A58" s="1" t="s">
        <v>86</v>
      </c>
    </row>
    <row r="59" spans="1:1" x14ac:dyDescent="0.25">
      <c r="A59" s="1" t="s">
        <v>87</v>
      </c>
    </row>
    <row r="60" spans="1:1" x14ac:dyDescent="0.25">
      <c r="A60" s="1" t="s">
        <v>88</v>
      </c>
    </row>
    <row r="61" spans="1:1" x14ac:dyDescent="0.25">
      <c r="A61" s="1" t="s">
        <v>89</v>
      </c>
    </row>
    <row r="62" spans="1:1" x14ac:dyDescent="0.25">
      <c r="A62" s="1" t="s">
        <v>90</v>
      </c>
    </row>
    <row r="63" spans="1:1" x14ac:dyDescent="0.25">
      <c r="A63" s="1" t="s">
        <v>91</v>
      </c>
    </row>
    <row r="64" spans="1:1" x14ac:dyDescent="0.25">
      <c r="A64" s="1" t="s">
        <v>92</v>
      </c>
    </row>
    <row r="65" spans="1:1" x14ac:dyDescent="0.25">
      <c r="A65" s="1" t="s">
        <v>93</v>
      </c>
    </row>
    <row r="66" spans="1:1" x14ac:dyDescent="0.25">
      <c r="A66" s="1" t="s">
        <v>94</v>
      </c>
    </row>
    <row r="67" spans="1:1" x14ac:dyDescent="0.25">
      <c r="A67" s="1" t="s">
        <v>95</v>
      </c>
    </row>
    <row r="68" spans="1:1" x14ac:dyDescent="0.25">
      <c r="A68" s="1" t="s">
        <v>96</v>
      </c>
    </row>
    <row r="69" spans="1:1" x14ac:dyDescent="0.25">
      <c r="A69" s="1" t="s">
        <v>97</v>
      </c>
    </row>
    <row r="70" spans="1:1" x14ac:dyDescent="0.25">
      <c r="A70" s="1" t="s">
        <v>98</v>
      </c>
    </row>
    <row r="71" spans="1:1" x14ac:dyDescent="0.25">
      <c r="A71" s="1" t="s">
        <v>99</v>
      </c>
    </row>
    <row r="72" spans="1:1" x14ac:dyDescent="0.25">
      <c r="A72" s="1" t="s">
        <v>100</v>
      </c>
    </row>
    <row r="73" spans="1:1" x14ac:dyDescent="0.25">
      <c r="A73" s="1" t="s">
        <v>101</v>
      </c>
    </row>
    <row r="74" spans="1:1" x14ac:dyDescent="0.25">
      <c r="A74" s="1" t="s">
        <v>102</v>
      </c>
    </row>
    <row r="75" spans="1:1" x14ac:dyDescent="0.25">
      <c r="A75" s="1" t="s">
        <v>103</v>
      </c>
    </row>
    <row r="76" spans="1:1" x14ac:dyDescent="0.25">
      <c r="A76" s="1" t="s">
        <v>104</v>
      </c>
    </row>
    <row r="77" spans="1:1" x14ac:dyDescent="0.25">
      <c r="A77" s="1" t="s">
        <v>105</v>
      </c>
    </row>
    <row r="78" spans="1:1" x14ac:dyDescent="0.25">
      <c r="A78" s="1" t="s">
        <v>106</v>
      </c>
    </row>
    <row r="79" spans="1:1" x14ac:dyDescent="0.25">
      <c r="A79" s="1" t="s">
        <v>107</v>
      </c>
    </row>
    <row r="80" spans="1:1" x14ac:dyDescent="0.25">
      <c r="A80" s="1" t="s">
        <v>108</v>
      </c>
    </row>
    <row r="81" spans="1:1" x14ac:dyDescent="0.25">
      <c r="A81" s="1" t="s">
        <v>109</v>
      </c>
    </row>
    <row r="82" spans="1:1" x14ac:dyDescent="0.25">
      <c r="A82" s="1" t="s">
        <v>110</v>
      </c>
    </row>
    <row r="83" spans="1:1" x14ac:dyDescent="0.25">
      <c r="A83" s="1" t="s">
        <v>111</v>
      </c>
    </row>
    <row r="84" spans="1:1" x14ac:dyDescent="0.25">
      <c r="A84" s="1" t="s">
        <v>112</v>
      </c>
    </row>
    <row r="85" spans="1:1" x14ac:dyDescent="0.25">
      <c r="A85" s="1" t="s">
        <v>113</v>
      </c>
    </row>
    <row r="86" spans="1:1" x14ac:dyDescent="0.25">
      <c r="A86" s="1" t="s">
        <v>114</v>
      </c>
    </row>
    <row r="87" spans="1:1" x14ac:dyDescent="0.25">
      <c r="A87" s="1" t="s">
        <v>115</v>
      </c>
    </row>
    <row r="88" spans="1:1" x14ac:dyDescent="0.25">
      <c r="A88" s="1" t="s">
        <v>116</v>
      </c>
    </row>
    <row r="89" spans="1:1" x14ac:dyDescent="0.25">
      <c r="A89" s="1" t="s">
        <v>117</v>
      </c>
    </row>
    <row r="90" spans="1:1" x14ac:dyDescent="0.25">
      <c r="A90" s="1" t="s">
        <v>118</v>
      </c>
    </row>
    <row r="91" spans="1:1" x14ac:dyDescent="0.25">
      <c r="A91" s="1" t="s">
        <v>119</v>
      </c>
    </row>
    <row r="92" spans="1:1" x14ac:dyDescent="0.25">
      <c r="A92" s="1" t="s">
        <v>120</v>
      </c>
    </row>
    <row r="93" spans="1:1" x14ac:dyDescent="0.25">
      <c r="A93" s="1" t="s">
        <v>121</v>
      </c>
    </row>
    <row r="94" spans="1:1" x14ac:dyDescent="0.25">
      <c r="A94" s="1" t="s">
        <v>122</v>
      </c>
    </row>
    <row r="95" spans="1:1" x14ac:dyDescent="0.25">
      <c r="A95" s="1" t="s">
        <v>123</v>
      </c>
    </row>
    <row r="96" spans="1:1" x14ac:dyDescent="0.25">
      <c r="A96" s="1" t="s">
        <v>124</v>
      </c>
    </row>
    <row r="97" spans="1:1" x14ac:dyDescent="0.25">
      <c r="A97" s="1" t="s">
        <v>125</v>
      </c>
    </row>
    <row r="98" spans="1:1" x14ac:dyDescent="0.25">
      <c r="A98" s="1" t="s">
        <v>126</v>
      </c>
    </row>
    <row r="99" spans="1:1" x14ac:dyDescent="0.25">
      <c r="A99" s="1" t="s">
        <v>127</v>
      </c>
    </row>
    <row r="100" spans="1:1" x14ac:dyDescent="0.25">
      <c r="A100" s="1" t="s">
        <v>128</v>
      </c>
    </row>
    <row r="101" spans="1:1" x14ac:dyDescent="0.25">
      <c r="A101" s="1" t="s">
        <v>129</v>
      </c>
    </row>
    <row r="102" spans="1:1" x14ac:dyDescent="0.25">
      <c r="A102" s="1" t="s">
        <v>130</v>
      </c>
    </row>
    <row r="103" spans="1:1" x14ac:dyDescent="0.25">
      <c r="A103" s="1" t="s">
        <v>131</v>
      </c>
    </row>
    <row r="104" spans="1:1" x14ac:dyDescent="0.25">
      <c r="A104" s="1" t="s">
        <v>132</v>
      </c>
    </row>
    <row r="105" spans="1:1" x14ac:dyDescent="0.25">
      <c r="A105" s="1" t="s">
        <v>133</v>
      </c>
    </row>
    <row r="106" spans="1:1" x14ac:dyDescent="0.25">
      <c r="A106" s="1" t="s">
        <v>134</v>
      </c>
    </row>
    <row r="107" spans="1:1" x14ac:dyDescent="0.25">
      <c r="A107" s="1" t="s">
        <v>135</v>
      </c>
    </row>
    <row r="108" spans="1:1" x14ac:dyDescent="0.25">
      <c r="A108" s="1" t="s">
        <v>136</v>
      </c>
    </row>
    <row r="109" spans="1:1" x14ac:dyDescent="0.25">
      <c r="A109" s="1" t="s">
        <v>137</v>
      </c>
    </row>
    <row r="110" spans="1:1" x14ac:dyDescent="0.25">
      <c r="A110" s="1" t="s">
        <v>138</v>
      </c>
    </row>
    <row r="111" spans="1:1" x14ac:dyDescent="0.25">
      <c r="A111" s="1" t="s">
        <v>139</v>
      </c>
    </row>
    <row r="112" spans="1:1" x14ac:dyDescent="0.25">
      <c r="A112" s="1" t="s">
        <v>140</v>
      </c>
    </row>
    <row r="113" spans="1:1" x14ac:dyDescent="0.25">
      <c r="A113" s="1" t="s">
        <v>141</v>
      </c>
    </row>
    <row r="114" spans="1:1" x14ac:dyDescent="0.25">
      <c r="A114" s="1" t="s">
        <v>142</v>
      </c>
    </row>
    <row r="115" spans="1:1" x14ac:dyDescent="0.25">
      <c r="A115" s="1" t="s">
        <v>143</v>
      </c>
    </row>
    <row r="116" spans="1:1" x14ac:dyDescent="0.25">
      <c r="A116" s="1" t="s">
        <v>144</v>
      </c>
    </row>
    <row r="117" spans="1:1" x14ac:dyDescent="0.25">
      <c r="A117" s="1" t="s">
        <v>145</v>
      </c>
    </row>
    <row r="118" spans="1:1" x14ac:dyDescent="0.25">
      <c r="A118" s="1" t="s">
        <v>146</v>
      </c>
    </row>
    <row r="119" spans="1:1" x14ac:dyDescent="0.25">
      <c r="A119" s="1" t="s">
        <v>147</v>
      </c>
    </row>
    <row r="120" spans="1:1" x14ac:dyDescent="0.25">
      <c r="A120" s="1" t="s">
        <v>148</v>
      </c>
    </row>
    <row r="121" spans="1:1" x14ac:dyDescent="0.25">
      <c r="A121" s="1" t="s">
        <v>149</v>
      </c>
    </row>
    <row r="122" spans="1:1" x14ac:dyDescent="0.25">
      <c r="A122" s="1" t="s">
        <v>150</v>
      </c>
    </row>
    <row r="123" spans="1:1" x14ac:dyDescent="0.25">
      <c r="A123" s="1" t="s">
        <v>151</v>
      </c>
    </row>
    <row r="124" spans="1:1" x14ac:dyDescent="0.25">
      <c r="A124" s="1" t="s">
        <v>152</v>
      </c>
    </row>
    <row r="125" spans="1:1" x14ac:dyDescent="0.25">
      <c r="A125" s="1" t="s">
        <v>153</v>
      </c>
    </row>
    <row r="126" spans="1:1" x14ac:dyDescent="0.25">
      <c r="A126" s="1" t="s">
        <v>154</v>
      </c>
    </row>
    <row r="127" spans="1:1" x14ac:dyDescent="0.25">
      <c r="A127" s="1" t="s">
        <v>155</v>
      </c>
    </row>
    <row r="128" spans="1:1" x14ac:dyDescent="0.25">
      <c r="A128" s="1" t="s">
        <v>156</v>
      </c>
    </row>
    <row r="129" spans="1:1" x14ac:dyDescent="0.25">
      <c r="A129" s="1" t="s">
        <v>157</v>
      </c>
    </row>
    <row r="130" spans="1:1" x14ac:dyDescent="0.25">
      <c r="A130" s="1" t="s">
        <v>158</v>
      </c>
    </row>
    <row r="131" spans="1:1" x14ac:dyDescent="0.25">
      <c r="A131" s="1" t="s">
        <v>159</v>
      </c>
    </row>
    <row r="132" spans="1:1" x14ac:dyDescent="0.25">
      <c r="A132" s="1" t="s">
        <v>160</v>
      </c>
    </row>
    <row r="133" spans="1:1" x14ac:dyDescent="0.25">
      <c r="A133" s="1" t="s">
        <v>161</v>
      </c>
    </row>
    <row r="134" spans="1:1" x14ac:dyDescent="0.25">
      <c r="A134" s="1" t="s">
        <v>162</v>
      </c>
    </row>
    <row r="135" spans="1:1" x14ac:dyDescent="0.25">
      <c r="A135" s="1" t="s">
        <v>163</v>
      </c>
    </row>
    <row r="136" spans="1:1" x14ac:dyDescent="0.25">
      <c r="A136" s="1" t="s">
        <v>164</v>
      </c>
    </row>
    <row r="137" spans="1:1" x14ac:dyDescent="0.25">
      <c r="A137" s="1" t="s">
        <v>165</v>
      </c>
    </row>
    <row r="138" spans="1:1" x14ac:dyDescent="0.25">
      <c r="A138" s="1" t="s">
        <v>166</v>
      </c>
    </row>
    <row r="139" spans="1:1" x14ac:dyDescent="0.25">
      <c r="A139" s="1" t="s">
        <v>167</v>
      </c>
    </row>
    <row r="140" spans="1:1" x14ac:dyDescent="0.25">
      <c r="A140" s="1" t="s">
        <v>168</v>
      </c>
    </row>
    <row r="141" spans="1:1" x14ac:dyDescent="0.25">
      <c r="A141" s="1" t="s">
        <v>169</v>
      </c>
    </row>
    <row r="142" spans="1:1" x14ac:dyDescent="0.25">
      <c r="A142" s="1" t="s">
        <v>170</v>
      </c>
    </row>
    <row r="143" spans="1:1" x14ac:dyDescent="0.25">
      <c r="A143" s="1" t="s">
        <v>171</v>
      </c>
    </row>
    <row r="144" spans="1:1" x14ac:dyDescent="0.25">
      <c r="A144" s="1" t="s">
        <v>172</v>
      </c>
    </row>
    <row r="145" spans="1:1" x14ac:dyDescent="0.25">
      <c r="A145" s="1" t="s">
        <v>173</v>
      </c>
    </row>
    <row r="146" spans="1:1" x14ac:dyDescent="0.25">
      <c r="A146" s="1" t="s">
        <v>174</v>
      </c>
    </row>
    <row r="147" spans="1:1" x14ac:dyDescent="0.25">
      <c r="A147" s="1" t="s">
        <v>175</v>
      </c>
    </row>
    <row r="148" spans="1:1" x14ac:dyDescent="0.25">
      <c r="A148" s="1" t="s">
        <v>176</v>
      </c>
    </row>
    <row r="149" spans="1:1" x14ac:dyDescent="0.25">
      <c r="A149" s="1" t="s">
        <v>177</v>
      </c>
    </row>
    <row r="150" spans="1:1" x14ac:dyDescent="0.25">
      <c r="A150" s="1" t="s">
        <v>178</v>
      </c>
    </row>
  </sheetData>
  <mergeCells count="1">
    <mergeCell ref="E5:G5"/>
  </mergeCells>
  <pageMargins left="0.511811024" right="0.511811024" top="0.78740157499999996" bottom="0.78740157499999996" header="0.31496062000000002" footer="0.31496062000000002"/>
  <ignoredErrors>
    <ignoredError sqref="A1:A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Silva Lisboa</dc:creator>
  <cp:lastModifiedBy>Mauricio Silva Lisboa</cp:lastModifiedBy>
  <dcterms:created xsi:type="dcterms:W3CDTF">2026-09-10T10:20:01Z</dcterms:created>
  <dcterms:modified xsi:type="dcterms:W3CDTF">2026-09-11T12:45:13Z</dcterms:modified>
</cp:coreProperties>
</file>